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ramos" sheetId="2" state="visible" r:id="rId4"/>
    <sheet name="Perfil" sheetId="3" state="visible" r:id="rId5"/>
    <sheet name="Factores" sheetId="4" state="visible" r:id="rId6"/>
    <sheet name="Modelos" sheetId="5" state="visible" r:id="rId7"/>
    <sheet name="Cobro" sheetId="6" state="visible" r:id="rId8"/>
    <sheet name="Calida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<sst xmlns="http://schemas.openxmlformats.org/spreadsheetml/2006/main" count="242" uniqueCount="158">
  <si>
    <t xml:space="preserve">Informe de morosidad – Colegio de Profesionales en Sociología</t>
  </si>
  <si>
    <t xml:space="preserve">Moneda: colones. Los indicadores se calculan con fórmulas desde las demás hojas. Corte del padrón: 2-sep-2026.</t>
  </si>
  <si>
    <t xml:space="preserve">Indicador</t>
  </si>
  <si>
    <t xml:space="preserve">Valor</t>
  </si>
  <si>
    <t xml:space="preserve">Detalle</t>
  </si>
  <si>
    <t xml:space="preserve">Personas morosas (únicas)</t>
  </si>
  <si>
    <t xml:space="preserve">Base de morosidad tras eliminar duplicados</t>
  </si>
  <si>
    <t xml:space="preserve">Deuda acumulada (₡)</t>
  </si>
  <si>
    <t xml:space="preserve">Suma de la deuda de todas las personas morosas</t>
  </si>
  <si>
    <t xml:space="preserve">Colegiados en el padrón</t>
  </si>
  <si>
    <t xml:space="preserve">Todas las condiciones</t>
  </si>
  <si>
    <t xml:space="preserve">Tasa de morosidad</t>
  </si>
  <si>
    <t xml:space="preserve">Morosos con datos cruzados / colegiados del padrón</t>
  </si>
  <si>
    <t xml:space="preserve">Deuda mediana por persona (₡)</t>
  </si>
  <si>
    <t xml:space="preserve">Mitad de los morosos debe menos que esto</t>
  </si>
  <si>
    <t xml:space="preserve">Atraso mediano (meses)</t>
  </si>
  <si>
    <t xml:space="preserve">Equivale a unos 3,8 años</t>
  </si>
  <si>
    <t xml:space="preserve">Tasa de morosidad: inactivos</t>
  </si>
  <si>
    <t xml:space="preserve">Factor principal</t>
  </si>
  <si>
    <t xml:space="preserve">Tasa de morosidad: activos</t>
  </si>
  <si>
    <t xml:space="preserve">La condición puede ser consecuencia de la mora</t>
  </si>
  <si>
    <t xml:space="preserve">Deuda en tramo 97+ meses</t>
  </si>
  <si>
    <t xml:space="preserve">% de la deuda total que llevan más de 8 años en atraso</t>
  </si>
  <si>
    <t xml:space="preserve">Deuda recuperable (prioridad A)</t>
  </si>
  <si>
    <t xml:space="preserve">% de la deuda de personas activas o con arreglo y atraso hasta 24 meses</t>
  </si>
  <si>
    <t xml:space="preserve">Hallazgos principales</t>
  </si>
  <si>
    <t xml:space="preserve">1. La morosidad se concentra en personas inactivas: 93% de los inactivos frente a 7% de los activos (hoja Factores).</t>
  </si>
  <si>
    <t xml:space="preserve">2. La cohorte incorporada en 2018-2021 tiene la tasa más alta (61%); la de 2022-2026, la más baja (28%).</t>
  </si>
  <si>
    <t xml:space="preserve">3. Edad y sexo explican poco; tener licenciatura se asocia con menos morosidad que el bachillerato (hoja Modelos).</t>
  </si>
  <si>
    <t xml:space="preserve">4. El 17% de los morosos, con más de 8 años de atraso, acumula el 35% de la deuda (hoja Tramos).</t>
  </si>
  <si>
    <t xml:space="preserve">5. Solo 1,4% de la deuda corresponde a personas activas o con arreglo y hasta 24 meses de atraso (hoja Cobro).</t>
  </si>
  <si>
    <t xml:space="preserve">Limitaciones: asociaciones, no causas. Sexo e institución no están en el padrón. Ver hoja Calidad.</t>
  </si>
  <si>
    <t xml:space="preserve">Leyenda: texto azul = dato de entrada tomado de los scripts de análisis; texto negro = fórmula.</t>
  </si>
  <si>
    <t xml:space="preserve">Cartera por tramos de atraso</t>
  </si>
  <si>
    <t xml:space="preserve">Moneda: colones (₡). Texto azul = dato de entrada; negro = fórmula. Fuente: Base_Morosidad_completada.xlsx (427 morosos únicos).</t>
  </si>
  <si>
    <t xml:space="preserve">Tramo de atraso</t>
  </si>
  <si>
    <t xml:space="preserve">Personas</t>
  </si>
  <si>
    <t xml:space="preserve">% de personas</t>
  </si>
  <si>
    <t xml:space="preserve">Deuda (₡)</t>
  </si>
  <si>
    <t xml:space="preserve">% de la deuda</t>
  </si>
  <si>
    <t xml:space="preserve">0-12 meses</t>
  </si>
  <si>
    <t xml:space="preserve">13-24 meses</t>
  </si>
  <si>
    <t xml:space="preserve">25-48 meses</t>
  </si>
  <si>
    <t xml:space="preserve">49-72 meses</t>
  </si>
  <si>
    <t xml:space="preserve">73-96 meses</t>
  </si>
  <si>
    <t xml:space="preserve">97+ meses</t>
  </si>
  <si>
    <t xml:space="preserve">Total</t>
  </si>
  <si>
    <t xml:space="preserve">Nota: el atraso se registra en meses (mínimo 4). En los tramos de 30, 60 y 90 días, el 100% de la cartera cae en 90+ días, por eso se usan tramos en meses.</t>
  </si>
  <si>
    <t xml:space="preserve">Perfil de las personas morosas</t>
  </si>
  <si>
    <t xml:space="preserve">n = 427 morosos únicos. Texto azul = dato de entrada; negro = fórmula. Fuente: Base_Morosidad_completada.xlsx.</t>
  </si>
  <si>
    <t xml:space="preserve">Sexo</t>
  </si>
  <si>
    <t xml:space="preserve">% del total</t>
  </si>
  <si>
    <t xml:space="preserve">Mujer</t>
  </si>
  <si>
    <t xml:space="preserve">Hombre</t>
  </si>
  <si>
    <t xml:space="preserve">Grupo de edad</t>
  </si>
  <si>
    <t xml:space="preserve">&lt;35</t>
  </si>
  <si>
    <t xml:space="preserve">35-44</t>
  </si>
  <si>
    <t xml:space="preserve">45-54</t>
  </si>
  <si>
    <t xml:space="preserve">55-64</t>
  </si>
  <si>
    <t xml:space="preserve">65+</t>
  </si>
  <si>
    <t xml:space="preserve">Institución</t>
  </si>
  <si>
    <t xml:space="preserve">Institución Pública</t>
  </si>
  <si>
    <t xml:space="preserve">No labora</t>
  </si>
  <si>
    <t xml:space="preserve">Institución Privada</t>
  </si>
  <si>
    <t xml:space="preserve">Consultoría/propio</t>
  </si>
  <si>
    <t xml:space="preserve">Condición</t>
  </si>
  <si>
    <t xml:space="preserve">Inactivo</t>
  </si>
  <si>
    <t xml:space="preserve">Activo</t>
  </si>
  <si>
    <t xml:space="preserve">Arreglo de pago</t>
  </si>
  <si>
    <t xml:space="preserve">Artículo 7 (65+ años)</t>
  </si>
  <si>
    <t xml:space="preserve">Sin dato</t>
  </si>
  <si>
    <t xml:space="preserve">Grado académico</t>
  </si>
  <si>
    <t xml:space="preserve">Bachillerato</t>
  </si>
  <si>
    <t xml:space="preserve">Licenciatura</t>
  </si>
  <si>
    <t xml:space="preserve">Maestría</t>
  </si>
  <si>
    <t xml:space="preserve">Doctorado</t>
  </si>
  <si>
    <t xml:space="preserve">Segmentación por institución</t>
  </si>
  <si>
    <t xml:space="preserve">Deuda total (₡)</t>
  </si>
  <si>
    <t xml:space="preserve">Edad mediana</t>
  </si>
  <si>
    <t xml:space="preserve">Deuda mediana (₡)</t>
  </si>
  <si>
    <t xml:space="preserve">Estadísticos generales</t>
  </si>
  <si>
    <t xml:space="preserve">Edad mediana (años)</t>
  </si>
  <si>
    <t xml:space="preserve">Deuda media por persona (₡)</t>
  </si>
  <si>
    <t xml:space="preserve">Tasa de morosidad por factor (padrón completo vs. morosos)</t>
  </si>
  <si>
    <t xml:space="preserve">Colegiados = padrón de 914 personas; morosos = personas del padrón presentes en la base de morosidad (423 con datos cruzados). Azul = dato; negro = fórmula.</t>
  </si>
  <si>
    <t xml:space="preserve">Valor z (IC 95%)</t>
  </si>
  <si>
    <t xml:space="preserve">Supuesto: intervalo de Wilson al 95%.</t>
  </si>
  <si>
    <t xml:space="preserve">Factor</t>
  </si>
  <si>
    <t xml:space="preserve">Grupo</t>
  </si>
  <si>
    <t xml:space="preserve">Colegiados</t>
  </si>
  <si>
    <t xml:space="preserve">Morosos</t>
  </si>
  <si>
    <t xml:space="preserve">IC 95% inferior</t>
  </si>
  <si>
    <t xml:space="preserve">IC 95% superior</t>
  </si>
  <si>
    <t xml:space="preserve">Miembro Honorario</t>
  </si>
  <si>
    <t xml:space="preserve">Incorporación</t>
  </si>
  <si>
    <t xml:space="preserve">2012-2013</t>
  </si>
  <si>
    <t xml:space="preserve">2014-2017</t>
  </si>
  <si>
    <t xml:space="preserve">2018-2021</t>
  </si>
  <si>
    <t xml:space="preserve">2022-2026</t>
  </si>
  <si>
    <t xml:space="preserve">Grado</t>
  </si>
  <si>
    <t xml:space="preserve">Edad</t>
  </si>
  <si>
    <t xml:space="preserve">Total padrón</t>
  </si>
  <si>
    <t xml:space="preserve">Nota: la condición se mide al corte del padrón (2-sep-2026) y puede ser consecuencia de la morosidad, no su causa. Miembro Honorario (1 persona) se omite del gráfico.</t>
  </si>
  <si>
    <t xml:space="preserve">Modelos de regresión logística (odds ratios)</t>
  </si>
  <si>
    <t xml:space="preserve">Odds ratio &gt; 1: más probabilidad de morosidad. Se excluyen las 14 personas con arreglo de pago (todas morosas por definición). Valores calculados en Python (statsmodels).</t>
  </si>
  <si>
    <t xml:space="preserve">Modelo sin condición (edad, antigüedad, grado)</t>
  </si>
  <si>
    <t xml:space="preserve">Variable</t>
  </si>
  <si>
    <t xml:space="preserve">Odds ratio</t>
  </si>
  <si>
    <t xml:space="preserve">Valor p</t>
  </si>
  <si>
    <t xml:space="preserve">grado_g: Licenciatura</t>
  </si>
  <si>
    <t xml:space="preserve">grado_g: Maestría/Doctorado</t>
  </si>
  <si>
    <t xml:space="preserve">edad (+10 años)</t>
  </si>
  <si>
    <t xml:space="preserve">antigüedad (+1 año)</t>
  </si>
  <si>
    <t xml:space="preserve">Poder de predicción (AUC, validación cruzada)</t>
  </si>
  <si>
    <t xml:space="preserve">Modelo con condición</t>
  </si>
  <si>
    <t xml:space="preserve">cond_g: Exento (Art. 7/Honorario)</t>
  </si>
  <si>
    <t xml:space="preserve">cond_g: Inactivo</t>
  </si>
  <si>
    <t xml:space="preserve">Lectura: sin la condición, las variables disponibles casi no predicen la morosidad (AUC cercano a 0,5). Estar inactivo multiplica el odds por ~173.</t>
  </si>
  <si>
    <t xml:space="preserve">Prioridad de cobro (propuesta)</t>
  </si>
  <si>
    <t xml:space="preserve">A = colegiado activo o con arreglo y hasta 24 meses de atraso; B = activo/arreglo con más atraso; C = inactivo o sin dato.</t>
  </si>
  <si>
    <t xml:space="preserve">Prioridad</t>
  </si>
  <si>
    <t xml:space="preserve">A - Activo o con arreglo, atraso hasta 24 meses</t>
  </si>
  <si>
    <t xml:space="preserve">B - Activo con atraso largo (&gt;24 meses)</t>
  </si>
  <si>
    <t xml:space="preserve">C - Inactivo o sin dato (cobro difícil)</t>
  </si>
  <si>
    <t xml:space="preserve">Calidad de los datos</t>
  </si>
  <si>
    <t xml:space="preserve">Problemas detectados y acción tomada.</t>
  </si>
  <si>
    <t xml:space="preserve">Problema</t>
  </si>
  <si>
    <t xml:space="preserve">Base</t>
  </si>
  <si>
    <t xml:space="preserve">Hallazgo</t>
  </si>
  <si>
    <t xml:space="preserve">Acción</t>
  </si>
  <si>
    <t xml:space="preserve">Filas duplicadas</t>
  </si>
  <si>
    <t xml:space="preserve">2 pares idénticos en las 9 columnas; la base no tiene identificador</t>
  </si>
  <si>
    <t xml:space="preserve">Se eliminó una fila de cada par; confirmar en la fuente</t>
  </si>
  <si>
    <t xml:space="preserve">Institución: espacios y mayúsculas</t>
  </si>
  <si>
    <t xml:space="preserve">9 categorías aparentes, en realidad 4</t>
  </si>
  <si>
    <t xml:space="preserve">Unificadas en 4</t>
  </si>
  <si>
    <t xml:space="preserve">Condición y grado con espacios</t>
  </si>
  <si>
    <t xml:space="preserve">Padrón</t>
  </si>
  <si>
    <t xml:space="preserve">215 celdas</t>
  </si>
  <si>
    <t xml:space="preserve">Espacios recortados</t>
  </si>
  <si>
    <t xml:space="preserve">Grado con mayúsculas inconsistentes</t>
  </si>
  <si>
    <t xml:space="preserve">2 casos ('licenciatura')</t>
  </si>
  <si>
    <t xml:space="preserve">Unificado</t>
  </si>
  <si>
    <t xml:space="preserve">Valores faltantes</t>
  </si>
  <si>
    <t xml:space="preserve">4 registros sin condición, grado ni fecha (sin coincidencia en la segunda base)</t>
  </si>
  <si>
    <t xml:space="preserve">Conservados para edad, sexo, institución y deuda; excluidos de los análisis de factores</t>
  </si>
  <si>
    <t xml:space="preserve">Emparejamiento dudoso</t>
  </si>
  <si>
    <t xml:space="preserve">41 con sexo en conflicto y 88 con sexo no verificable</t>
  </si>
  <si>
    <t xml:space="preserve">No eliminados; sus datos cruzados pueden tener errores</t>
  </si>
  <si>
    <t xml:space="preserve">Atraso mayor que la antigüedad</t>
  </si>
  <si>
    <t xml:space="preserve">20 registros con más meses de atraso que meses de colegiatura</t>
  </si>
  <si>
    <t xml:space="preserve">Sin cambios; revisar en la fuente</t>
  </si>
  <si>
    <t xml:space="preserve">Carné no coincide con la fecha</t>
  </si>
  <si>
    <t xml:space="preserve">109 casos (47 con 1 año de diferencia; 50 con 23-24 años)</t>
  </si>
  <si>
    <t xml:space="preserve">No corregido; el carné no se usó</t>
  </si>
  <si>
    <t xml:space="preserve">Deuda = cuota fija × meses</t>
  </si>
  <si>
    <t xml:space="preserve">Cuota implícita de ₡5.861 por mes (rango ₡5.333 a ₡7.000)</t>
  </si>
  <si>
    <t xml:space="preserve">La deuda no aporta información independiente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</si>
</sst>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₡#,##0"/>
    <numFmt numFmtId="167" formatCode="0.0%"/>
    <numFmt numFmtId="168" formatCode="0"/>
    <numFmt numFmtId="169" formatCode="#,##0,,\M"/>
    <numFmt numFmtId="170" formatCode="0.0"/>
    <numFmt numFmtId="171" formatCode="0.00"/>
    <numFmt numFmtId="172" formatCode="0%"/>
    <numFmt numFmtId="173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5F8B"/>
        <bgColor rgb="FF008080"/>
      </patternFill>
    </fill>
    <fill>
      <patternFill patternType="solid">
        <fgColor rgb="FFE8EEF4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E8EEF4"/>
      <rgbColor rgb="FF660066"/>
      <rgbColor rgb="FFFF8080"/>
      <rgbColor rgb="FF1F5F8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Deuda acumulada por tramo de atraso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Tramos!D4</c:f>
              <c:strCache>
                <c:ptCount val="1"/>
                <c:pt idx="0">
                  <c:v>Deuda (₡)</c:v>
                </c:pt>
              </c:strCache>
            </c:strRef>
          </c:tx>
          <c:spPr>
            <a:solidFill>
              <a:srgbClr val="1f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,,\M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Tramos!$A$5:$A$10</c:f>
              <c:strCache>
                <c:ptCount val="6"/>
                <c:pt idx="0">
                  <c:v>0-12 meses</c:v>
                </c:pt>
                <c:pt idx="1">
                  <c:v>13-24 meses</c:v>
                </c:pt>
                <c:pt idx="2">
                  <c:v>25-48 meses</c:v>
                </c:pt>
                <c:pt idx="3">
                  <c:v>49-72 meses</c:v>
                </c:pt>
                <c:pt idx="4">
                  <c:v>73-96 meses</c:v>
                </c:pt>
                <c:pt idx="5">
                  <c:v>97+ meses</c:v>
                </c:pt>
              </c:strCache>
            </c:strRef>
          </c:cat>
          <c:val>
            <c:numRef>
              <c:f>Tramos!$D$5:$D$10</c:f>
              <c:numCache>
                <c:formatCode>\₡#,##0</c:formatCode>
                <c:ptCount val="6"/>
                <c:pt idx="0">
                  <c:v>4091000</c:v>
                </c:pt>
                <c:pt idx="1">
                  <c:v>7573000.00345679</c:v>
                </c:pt>
                <c:pt idx="2">
                  <c:v>17785750</c:v>
                </c:pt>
                <c:pt idx="3">
                  <c:v>23308500</c:v>
                </c:pt>
                <c:pt idx="4">
                  <c:v>32650750</c:v>
                </c:pt>
                <c:pt idx="5">
                  <c:v>45710250</c:v>
                </c:pt>
              </c:numCache>
            </c:numRef>
          </c:val>
        </c:ser>
        <c:gapWidth val="150"/>
        <c:overlap val="0"/>
        <c:axId val="24591755"/>
        <c:axId val="51279698"/>
      </c:barChart>
      <c:catAx>
        <c:axId val="245917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79698"/>
        <c:crosses val="autoZero"/>
        <c:auto val="1"/>
        <c:lblAlgn val="ctr"/>
        <c:lblOffset val="100"/>
        <c:noMultiLvlLbl val="0"/>
      </c:catAx>
      <c:valAx>
        <c:axId val="5127969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Colones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91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Personas por tramo de atraso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Tramos!B4</c:f>
              <c:strCache>
                <c:ptCount val="1"/>
                <c:pt idx="0">
                  <c:v>Personas</c:v>
                </c:pt>
              </c:strCache>
            </c:strRef>
          </c:tx>
          <c:spPr>
            <a:solidFill>
              <a:srgbClr val="1f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Tramos!$A$5:$A$10</c:f>
              <c:strCache>
                <c:ptCount val="6"/>
                <c:pt idx="0">
                  <c:v>0-12 meses</c:v>
                </c:pt>
                <c:pt idx="1">
                  <c:v>13-24 meses</c:v>
                </c:pt>
                <c:pt idx="2">
                  <c:v>25-48 meses</c:v>
                </c:pt>
                <c:pt idx="3">
                  <c:v>49-72 meses</c:v>
                </c:pt>
                <c:pt idx="4">
                  <c:v>73-96 meses</c:v>
                </c:pt>
                <c:pt idx="5">
                  <c:v>97+ meses</c:v>
                </c:pt>
              </c:strCache>
            </c:strRef>
          </c:cat>
          <c:val>
            <c:numRef>
              <c:f>Tramos!$B$5:$B$10</c:f>
              <c:numCache>
                <c:formatCode>#,##0</c:formatCode>
                <c:ptCount val="6"/>
                <c:pt idx="0">
                  <c:v>73</c:v>
                </c:pt>
                <c:pt idx="1">
                  <c:v>69</c:v>
                </c:pt>
                <c:pt idx="2">
                  <c:v>83</c:v>
                </c:pt>
                <c:pt idx="3">
                  <c:v>64</c:v>
                </c:pt>
                <c:pt idx="4">
                  <c:v>66</c:v>
                </c:pt>
                <c:pt idx="5">
                  <c:v>72</c:v>
                </c:pt>
              </c:numCache>
            </c:numRef>
          </c:val>
        </c:ser>
        <c:gapWidth val="150"/>
        <c:overlap val="0"/>
        <c:axId val="76217730"/>
        <c:axId val="23731570"/>
      </c:barChart>
      <c:catAx>
        <c:axId val="762177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31570"/>
        <c:crosses val="autoZero"/>
        <c:auto val="1"/>
        <c:lblAlgn val="ctr"/>
        <c:lblOffset val="100"/>
        <c:noMultiLvlLbl val="0"/>
      </c:catAx>
      <c:valAx>
        <c:axId val="2373157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Personas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177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Morosos por sexo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Perfil!B5</c:f>
              <c:strCache>
                <c:ptCount val="1"/>
                <c:pt idx="0">
                  <c:v>Personas</c:v>
                </c:pt>
              </c:strCache>
            </c:strRef>
          </c:tx>
          <c:spPr>
            <a:solidFill>
              <a:srgbClr val="1f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Perfil!$A$6:$A$7</c:f>
              <c:strCache>
                <c:ptCount val="2"/>
                <c:pt idx="0">
                  <c:v>Mujer</c:v>
                </c:pt>
                <c:pt idx="1">
                  <c:v>Hombre</c:v>
                </c:pt>
              </c:strCache>
            </c:strRef>
          </c:cat>
          <c:val>
            <c:numRef>
              <c:f>Perfil!$B$6:$B$7</c:f>
              <c:numCache>
                <c:formatCode>#,##0</c:formatCode>
                <c:ptCount val="2"/>
                <c:pt idx="0">
                  <c:v>280</c:v>
                </c:pt>
                <c:pt idx="1">
                  <c:v>147</c:v>
                </c:pt>
              </c:numCache>
            </c:numRef>
          </c:val>
        </c:ser>
        <c:gapWidth val="150"/>
        <c:overlap val="0"/>
        <c:axId val="91782586"/>
        <c:axId val="20601405"/>
      </c:barChart>
      <c:catAx>
        <c:axId val="917825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01405"/>
        <c:crosses val="autoZero"/>
        <c:auto val="1"/>
        <c:lblAlgn val="ctr"/>
        <c:lblOffset val="100"/>
        <c:noMultiLvlLbl val="0"/>
      </c:catAx>
      <c:valAx>
        <c:axId val="2060140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Personas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825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Morosos por grupo de edad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Perfil!B12</c:f>
              <c:strCache>
                <c:ptCount val="1"/>
                <c:pt idx="0">
                  <c:v>Personas</c:v>
                </c:pt>
              </c:strCache>
            </c:strRef>
          </c:tx>
          <c:spPr>
            <a:solidFill>
              <a:srgbClr val="1f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Perfil!$A$13:$A$17</c:f>
              <c:strCache>
                <c:ptCount val="5"/>
                <c:pt idx="0">
                  <c:v>&lt;35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65+</c:v>
                </c:pt>
              </c:strCache>
            </c:strRef>
          </c:cat>
          <c:val>
            <c:numRef>
              <c:f>Perfil!$B$13:$B$17</c:f>
              <c:numCache>
                <c:formatCode>#,##0</c:formatCode>
                <c:ptCount val="5"/>
                <c:pt idx="0">
                  <c:v>103</c:v>
                </c:pt>
                <c:pt idx="1">
                  <c:v>144</c:v>
                </c:pt>
                <c:pt idx="2">
                  <c:v>70</c:v>
                </c:pt>
                <c:pt idx="3">
                  <c:v>44</c:v>
                </c:pt>
                <c:pt idx="4">
                  <c:v>66</c:v>
                </c:pt>
              </c:numCache>
            </c:numRef>
          </c:val>
        </c:ser>
        <c:gapWidth val="150"/>
        <c:overlap val="0"/>
        <c:axId val="8124159"/>
        <c:axId val="26040419"/>
      </c:barChart>
      <c:catAx>
        <c:axId val="812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40419"/>
        <c:crosses val="autoZero"/>
        <c:auto val="1"/>
        <c:lblAlgn val="ctr"/>
        <c:lblOffset val="100"/>
        <c:noMultiLvlLbl val="0"/>
      </c:catAx>
      <c:valAx>
        <c:axId val="2604041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Personas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41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Morosos por institución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Perfil!B22</c:f>
              <c:strCache>
                <c:ptCount val="1"/>
                <c:pt idx="0">
                  <c:v>Personas</c:v>
                </c:pt>
              </c:strCache>
            </c:strRef>
          </c:tx>
          <c:spPr>
            <a:solidFill>
              <a:srgbClr val="1f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Perfil!$A$23:$A$26</c:f>
              <c:strCache>
                <c:ptCount val="4"/>
                <c:pt idx="0">
                  <c:v>Institución Pública</c:v>
                </c:pt>
                <c:pt idx="1">
                  <c:v>No labora</c:v>
                </c:pt>
                <c:pt idx="2">
                  <c:v>Institución Privada</c:v>
                </c:pt>
                <c:pt idx="3">
                  <c:v>Consultoría/propio</c:v>
                </c:pt>
              </c:strCache>
            </c:strRef>
          </c:cat>
          <c:val>
            <c:numRef>
              <c:f>Perfil!$B$23:$B$26</c:f>
              <c:numCache>
                <c:formatCode>#,##0</c:formatCode>
                <c:ptCount val="4"/>
                <c:pt idx="0">
                  <c:v>176</c:v>
                </c:pt>
                <c:pt idx="1">
                  <c:v>144</c:v>
                </c:pt>
                <c:pt idx="2">
                  <c:v>85</c:v>
                </c:pt>
                <c:pt idx="3">
                  <c:v>22</c:v>
                </c:pt>
              </c:numCache>
            </c:numRef>
          </c:val>
        </c:ser>
        <c:gapWidth val="150"/>
        <c:overlap val="0"/>
        <c:axId val="32592541"/>
        <c:axId val="47637579"/>
      </c:barChart>
      <c:catAx>
        <c:axId val="325925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37579"/>
        <c:crosses val="autoZero"/>
        <c:auto val="1"/>
        <c:lblAlgn val="ctr"/>
        <c:lblOffset val="100"/>
        <c:noMultiLvlLbl val="0"/>
      </c:catAx>
      <c:valAx>
        <c:axId val="4763757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Personas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925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Morosos por condición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Perfil!B31</c:f>
              <c:strCache>
                <c:ptCount val="1"/>
                <c:pt idx="0">
                  <c:v>Personas</c:v>
                </c:pt>
              </c:strCache>
            </c:strRef>
          </c:tx>
          <c:spPr>
            <a:solidFill>
              <a:srgbClr val="1f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Perfil!$A$32:$A$36</c:f>
              <c:strCache>
                <c:ptCount val="5"/>
                <c:pt idx="0">
                  <c:v>Inactivo</c:v>
                </c:pt>
                <c:pt idx="1">
                  <c:v>Activo</c:v>
                </c:pt>
                <c:pt idx="2">
                  <c:v>Arreglo de pago</c:v>
                </c:pt>
                <c:pt idx="3">
                  <c:v>Artículo 7 (65+ años)</c:v>
                </c:pt>
                <c:pt idx="4">
                  <c:v>Sin dato</c:v>
                </c:pt>
              </c:strCache>
            </c:strRef>
          </c:cat>
          <c:val>
            <c:numRef>
              <c:f>Perfil!$B$32:$B$36</c:f>
              <c:numCache>
                <c:formatCode>#,##0</c:formatCode>
                <c:ptCount val="5"/>
                <c:pt idx="0">
                  <c:v>374</c:v>
                </c:pt>
                <c:pt idx="1">
                  <c:v>34</c:v>
                </c:pt>
                <c:pt idx="2">
                  <c:v>14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</c:ser>
        <c:gapWidth val="150"/>
        <c:overlap val="0"/>
        <c:axId val="29639779"/>
        <c:axId val="37031883"/>
      </c:barChart>
      <c:catAx>
        <c:axId val="296397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31883"/>
        <c:crosses val="autoZero"/>
        <c:auto val="1"/>
        <c:lblAlgn val="ctr"/>
        <c:lblOffset val="100"/>
        <c:noMultiLvlLbl val="0"/>
      </c:catAx>
      <c:valAx>
        <c:axId val="3703188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Personas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39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Morosos por grado académico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Perfil!B41</c:f>
              <c:strCache>
                <c:ptCount val="1"/>
                <c:pt idx="0">
                  <c:v>Personas</c:v>
                </c:pt>
              </c:strCache>
            </c:strRef>
          </c:tx>
          <c:spPr>
            <a:solidFill>
              <a:srgbClr val="1f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Perfil!$A$42:$A$46</c:f>
              <c:strCache>
                <c:ptCount val="5"/>
                <c:pt idx="0">
                  <c:v>Bachillerato</c:v>
                </c:pt>
                <c:pt idx="1">
                  <c:v>Licenciatura</c:v>
                </c:pt>
                <c:pt idx="2">
                  <c:v>Maestría</c:v>
                </c:pt>
                <c:pt idx="3">
                  <c:v>Doctorado</c:v>
                </c:pt>
                <c:pt idx="4">
                  <c:v>Sin dato</c:v>
                </c:pt>
              </c:strCache>
            </c:strRef>
          </c:cat>
          <c:val>
            <c:numRef>
              <c:f>Perfil!$B$42:$B$46</c:f>
              <c:numCache>
                <c:formatCode>#,##0</c:formatCode>
                <c:ptCount val="5"/>
                <c:pt idx="0">
                  <c:v>219</c:v>
                </c:pt>
                <c:pt idx="1">
                  <c:v>169</c:v>
                </c:pt>
                <c:pt idx="2">
                  <c:v>32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</c:ser>
        <c:gapWidth val="150"/>
        <c:overlap val="0"/>
        <c:axId val="94271999"/>
        <c:axId val="10295195"/>
      </c:barChart>
      <c:catAx>
        <c:axId val="9427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95195"/>
        <c:crosses val="autoZero"/>
        <c:auto val="1"/>
        <c:lblAlgn val="ctr"/>
        <c:lblOffset val="100"/>
        <c:noMultiLvlLbl val="0"/>
      </c:catAx>
      <c:valAx>
        <c:axId val="1029519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Personas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719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Tasa de morosidad según condición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Factores!$B$6:$B$9</c:f>
              <c:strCache>
                <c:ptCount val="4"/>
                <c:pt idx="0">
                  <c:v>Activo</c:v>
                </c:pt>
                <c:pt idx="1">
                  <c:v>Inactivo</c:v>
                </c:pt>
                <c:pt idx="2">
                  <c:v>Arreglo de pago</c:v>
                </c:pt>
                <c:pt idx="3">
                  <c:v>Artículo 7 (65+ años)</c:v>
                </c:pt>
              </c:strCache>
            </c:strRef>
          </c:cat>
          <c:val>
            <c:numRef>
              <c:f>Factores!$E$6:$E$9</c:f>
              <c:numCache>
                <c:formatCode>0.0%</c:formatCode>
                <c:ptCount val="4"/>
                <c:pt idx="0">
                  <c:v>0.0724946695095949</c:v>
                </c:pt>
                <c:pt idx="1">
                  <c:v>0.928039702233251</c:v>
                </c:pt>
                <c:pt idx="2">
                  <c:v>1</c:v>
                </c:pt>
                <c:pt idx="3">
                  <c:v>0.037037037037037</c:v>
                </c:pt>
              </c:numCache>
            </c:numRef>
          </c:val>
        </c:ser>
        <c:gapWidth val="150"/>
        <c:overlap val="0"/>
        <c:axId val="58905996"/>
        <c:axId val="61347167"/>
      </c:barChart>
      <c:catAx>
        <c:axId val="589059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47167"/>
        <c:crosses val="autoZero"/>
        <c:auto val="1"/>
        <c:lblAlgn val="ctr"/>
        <c:lblOffset val="100"/>
        <c:noMultiLvlLbl val="0"/>
      </c:catAx>
      <c:valAx>
        <c:axId val="6134716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colegiados morosos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059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Tasa de morosidad según incorporación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Factores!$B$11:$B$14</c:f>
              <c:strCache>
                <c:ptCount val="4"/>
                <c:pt idx="0">
                  <c:v>2012-2013</c:v>
                </c:pt>
                <c:pt idx="1">
                  <c:v>2014-2017</c:v>
                </c:pt>
                <c:pt idx="2">
                  <c:v>2018-2021</c:v>
                </c:pt>
                <c:pt idx="3">
                  <c:v>2022-2026</c:v>
                </c:pt>
              </c:strCache>
            </c:strRef>
          </c:cat>
          <c:val>
            <c:numRef>
              <c:f>Factores!$E$11:$E$14</c:f>
              <c:numCache>
                <c:formatCode>0.0%</c:formatCode>
                <c:ptCount val="4"/>
                <c:pt idx="0">
                  <c:v>0.414835164835165</c:v>
                </c:pt>
                <c:pt idx="1">
                  <c:v>0.558139534883721</c:v>
                </c:pt>
                <c:pt idx="2">
                  <c:v>0.605555555555556</c:v>
                </c:pt>
                <c:pt idx="3">
                  <c:v>0.27741935483871</c:v>
                </c:pt>
              </c:numCache>
            </c:numRef>
          </c:val>
        </c:ser>
        <c:gapWidth val="150"/>
        <c:overlap val="0"/>
        <c:axId val="1411455"/>
        <c:axId val="75705888"/>
      </c:barChart>
      <c:catAx>
        <c:axId val="141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05888"/>
        <c:crosses val="autoZero"/>
        <c:auto val="1"/>
        <c:lblAlgn val="ctr"/>
        <c:lblOffset val="100"/>
        <c:noMultiLvlLbl val="0"/>
      </c:catAx>
      <c:valAx>
        <c:axId val="7570588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colegiados morosos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14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Tasa de morosidad según grado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Factores!$B$15:$B$18</c:f>
              <c:strCache>
                <c:ptCount val="4"/>
                <c:pt idx="0">
                  <c:v>Bachillerato</c:v>
                </c:pt>
                <c:pt idx="1">
                  <c:v>Licenciatura</c:v>
                </c:pt>
                <c:pt idx="2">
                  <c:v>Maestría</c:v>
                </c:pt>
                <c:pt idx="3">
                  <c:v>Doctorado</c:v>
                </c:pt>
              </c:strCache>
            </c:strRef>
          </c:cat>
          <c:val>
            <c:numRef>
              <c:f>Factores!$E$15:$E$18</c:f>
              <c:numCache>
                <c:formatCode>0.0%</c:formatCode>
                <c:ptCount val="4"/>
                <c:pt idx="0">
                  <c:v>0.502293577981651</c:v>
                </c:pt>
                <c:pt idx="1">
                  <c:v>0.415233415233415</c:v>
                </c:pt>
                <c:pt idx="2">
                  <c:v>0.533333333333333</c:v>
                </c:pt>
                <c:pt idx="3">
                  <c:v>0.272727272727273</c:v>
                </c:pt>
              </c:numCache>
            </c:numRef>
          </c:val>
        </c:ser>
        <c:gapWidth val="150"/>
        <c:overlap val="0"/>
        <c:axId val="30909741"/>
        <c:axId val="71539176"/>
      </c:barChart>
      <c:catAx>
        <c:axId val="309097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39176"/>
        <c:crosses val="autoZero"/>
        <c:auto val="1"/>
        <c:lblAlgn val="ctr"/>
        <c:lblOffset val="100"/>
        <c:noMultiLvlLbl val="0"/>
      </c:catAx>
      <c:valAx>
        <c:axId val="7153917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colegiados morosos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097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Tasa de morosidad según edad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Factores!$B$19:$B$23</c:f>
              <c:strCache>
                <c:ptCount val="5"/>
                <c:pt idx="0">
                  <c:v>&lt;35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65+</c:v>
                </c:pt>
              </c:strCache>
            </c:strRef>
          </c:cat>
          <c:val>
            <c:numRef>
              <c:f>Factores!$E$19:$E$23</c:f>
              <c:numCache>
                <c:formatCode>0.0%</c:formatCode>
                <c:ptCount val="5"/>
                <c:pt idx="0">
                  <c:v>0.425</c:v>
                </c:pt>
                <c:pt idx="1">
                  <c:v>0.47972972972973</c:v>
                </c:pt>
                <c:pt idx="2">
                  <c:v>0.450980392156863</c:v>
                </c:pt>
                <c:pt idx="3">
                  <c:v>0.403669724770642</c:v>
                </c:pt>
                <c:pt idx="4">
                  <c:v>0.568965517241379</c:v>
                </c:pt>
              </c:numCache>
            </c:numRef>
          </c:val>
        </c:ser>
        <c:gapWidth val="150"/>
        <c:overlap val="0"/>
        <c:axId val="34701450"/>
        <c:axId val="77475185"/>
      </c:barChart>
      <c:catAx>
        <c:axId val="347014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75185"/>
        <c:crosses val="autoZero"/>
        <c:auto val="1"/>
        <c:lblAlgn val="ctr"/>
        <c:lblOffset val="100"/>
        <c:noMultiLvlLbl val="0"/>
      </c:catAx>
      <c:valAx>
        <c:axId val="7747518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colegiados morosos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014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Deuda por prioridad de cobro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Cobro!C4</c:f>
              <c:strCache>
                <c:ptCount val="1"/>
                <c:pt idx="0">
                  <c:v>Deuda (₡)</c:v>
                </c:pt>
              </c:strCache>
            </c:strRef>
          </c:tx>
          <c:spPr>
            <a:solidFill>
              <a:srgbClr val="1f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,,\M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Cobro!$A$5:$A$7</c:f>
              <c:strCache>
                <c:ptCount val="3"/>
                <c:pt idx="0">
                  <c:v>A - Activo o con arreglo, atraso hasta 24 meses</c:v>
                </c:pt>
                <c:pt idx="1">
                  <c:v>B - Activo con atraso largo (&gt;24 meses)</c:v>
                </c:pt>
                <c:pt idx="2">
                  <c:v>C - Inactivo o sin dato (cobro difícil)</c:v>
                </c:pt>
              </c:strCache>
            </c:strRef>
          </c:cat>
          <c:val>
            <c:numRef>
              <c:f>Cobro!$C$5:$C$7</c:f>
              <c:numCache>
                <c:formatCode>\₡#,##0</c:formatCode>
                <c:ptCount val="3"/>
                <c:pt idx="0">
                  <c:v>1829000</c:v>
                </c:pt>
                <c:pt idx="1">
                  <c:v>5794000</c:v>
                </c:pt>
                <c:pt idx="2">
                  <c:v>123496250.003457</c:v>
                </c:pt>
              </c:numCache>
            </c:numRef>
          </c:val>
        </c:ser>
        <c:gapWidth val="150"/>
        <c:overlap val="0"/>
        <c:axId val="76884899"/>
        <c:axId val="61058276"/>
      </c:barChart>
      <c:catAx>
        <c:axId val="768848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58276"/>
        <c:crosses val="autoZero"/>
        <c:auto val="1"/>
        <c:lblAlgn val="ctr"/>
        <c:lblOffset val="100"/>
        <c:noMultiLvlLbl val="0"/>
      </c:catAx>
      <c:valAx>
        <c:axId val="6105827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Colones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848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15</xdr:col>
      <xdr:colOff>255960</xdr:colOff>
      <xdr:row>16</xdr:row>
      <xdr:rowOff>2880</xdr:rowOff>
    </xdr:to>
    <xdr:graphicFrame>
      <xdr:nvGraphicFramePr>
        <xdr:cNvPr id="0" name="Chart 1"/>
        <xdr:cNvGraphicFramePr/>
      </xdr:nvGraphicFramePr>
      <xdr:xfrm>
        <a:off x="577980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160560</xdr:rowOff>
    </xdr:from>
    <xdr:to>
      <xdr:col>15</xdr:col>
      <xdr:colOff>255960</xdr:colOff>
      <xdr:row>33</xdr:row>
      <xdr:rowOff>2520</xdr:rowOff>
    </xdr:to>
    <xdr:graphicFrame>
      <xdr:nvGraphicFramePr>
        <xdr:cNvPr id="1" name="Chart 2"/>
        <xdr:cNvGraphicFramePr/>
      </xdr:nvGraphicFramePr>
      <xdr:xfrm>
        <a:off x="5779800" y="3809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16</xdr:col>
      <xdr:colOff>147600</xdr:colOff>
      <xdr:row>15</xdr:row>
      <xdr:rowOff>2880</xdr:rowOff>
    </xdr:to>
    <xdr:graphicFrame>
      <xdr:nvGraphicFramePr>
        <xdr:cNvPr id="2" name="Chart 1"/>
        <xdr:cNvGraphicFramePr/>
      </xdr:nvGraphicFramePr>
      <xdr:xfrm>
        <a:off x="850572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2</xdr:row>
      <xdr:rowOff>160920</xdr:rowOff>
    </xdr:from>
    <xdr:to>
      <xdr:col>26</xdr:col>
      <xdr:colOff>147600</xdr:colOff>
      <xdr:row>15</xdr:row>
      <xdr:rowOff>2880</xdr:rowOff>
    </xdr:to>
    <xdr:graphicFrame>
      <xdr:nvGraphicFramePr>
        <xdr:cNvPr id="3" name="Chart 2"/>
        <xdr:cNvGraphicFramePr/>
      </xdr:nvGraphicFramePr>
      <xdr:xfrm>
        <a:off x="1462104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19</xdr:row>
      <xdr:rowOff>160920</xdr:rowOff>
    </xdr:from>
    <xdr:to>
      <xdr:col>16</xdr:col>
      <xdr:colOff>147600</xdr:colOff>
      <xdr:row>32</xdr:row>
      <xdr:rowOff>2880</xdr:rowOff>
    </xdr:to>
    <xdr:graphicFrame>
      <xdr:nvGraphicFramePr>
        <xdr:cNvPr id="4" name="Chart 3"/>
        <xdr:cNvGraphicFramePr/>
      </xdr:nvGraphicFramePr>
      <xdr:xfrm>
        <a:off x="8505720" y="41911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19</xdr:row>
      <xdr:rowOff>160920</xdr:rowOff>
    </xdr:from>
    <xdr:to>
      <xdr:col>26</xdr:col>
      <xdr:colOff>147600</xdr:colOff>
      <xdr:row>32</xdr:row>
      <xdr:rowOff>2880</xdr:rowOff>
    </xdr:to>
    <xdr:graphicFrame>
      <xdr:nvGraphicFramePr>
        <xdr:cNvPr id="5" name="Chart 4"/>
        <xdr:cNvGraphicFramePr/>
      </xdr:nvGraphicFramePr>
      <xdr:xfrm>
        <a:off x="14621040" y="41911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36</xdr:row>
      <xdr:rowOff>160560</xdr:rowOff>
    </xdr:from>
    <xdr:to>
      <xdr:col>16</xdr:col>
      <xdr:colOff>147600</xdr:colOff>
      <xdr:row>50</xdr:row>
      <xdr:rowOff>2880</xdr:rowOff>
    </xdr:to>
    <xdr:graphicFrame>
      <xdr:nvGraphicFramePr>
        <xdr:cNvPr id="6" name="Chart 5"/>
        <xdr:cNvGraphicFramePr/>
      </xdr:nvGraphicFramePr>
      <xdr:xfrm>
        <a:off x="8505720" y="78105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160920</xdr:rowOff>
    </xdr:from>
    <xdr:to>
      <xdr:col>16</xdr:col>
      <xdr:colOff>507600</xdr:colOff>
      <xdr:row>17</xdr:row>
      <xdr:rowOff>2880</xdr:rowOff>
    </xdr:to>
    <xdr:graphicFrame>
      <xdr:nvGraphicFramePr>
        <xdr:cNvPr id="7" name="Chart 1"/>
        <xdr:cNvGraphicFramePr/>
      </xdr:nvGraphicFramePr>
      <xdr:xfrm>
        <a:off x="7378200" y="762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19</xdr:row>
      <xdr:rowOff>160920</xdr:rowOff>
    </xdr:from>
    <xdr:to>
      <xdr:col>16</xdr:col>
      <xdr:colOff>507600</xdr:colOff>
      <xdr:row>34</xdr:row>
      <xdr:rowOff>2880</xdr:rowOff>
    </xdr:to>
    <xdr:graphicFrame>
      <xdr:nvGraphicFramePr>
        <xdr:cNvPr id="8" name="Chart 2"/>
        <xdr:cNvGraphicFramePr/>
      </xdr:nvGraphicFramePr>
      <xdr:xfrm>
        <a:off x="7378200" y="4000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3</xdr:row>
      <xdr:rowOff>160920</xdr:rowOff>
    </xdr:from>
    <xdr:to>
      <xdr:col>26</xdr:col>
      <xdr:colOff>507600</xdr:colOff>
      <xdr:row>17</xdr:row>
      <xdr:rowOff>2880</xdr:rowOff>
    </xdr:to>
    <xdr:graphicFrame>
      <xdr:nvGraphicFramePr>
        <xdr:cNvPr id="9" name="Chart 3"/>
        <xdr:cNvGraphicFramePr/>
      </xdr:nvGraphicFramePr>
      <xdr:xfrm>
        <a:off x="13493160" y="762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19</xdr:row>
      <xdr:rowOff>160920</xdr:rowOff>
    </xdr:from>
    <xdr:to>
      <xdr:col>26</xdr:col>
      <xdr:colOff>507600</xdr:colOff>
      <xdr:row>34</xdr:row>
      <xdr:rowOff>2880</xdr:rowOff>
    </xdr:to>
    <xdr:graphicFrame>
      <xdr:nvGraphicFramePr>
        <xdr:cNvPr id="10" name="Chart 4"/>
        <xdr:cNvGraphicFramePr/>
      </xdr:nvGraphicFramePr>
      <xdr:xfrm>
        <a:off x="13493160" y="4000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255960</xdr:colOff>
      <xdr:row>16</xdr:row>
      <xdr:rowOff>2880</xdr:rowOff>
    </xdr:to>
    <xdr:graphicFrame>
      <xdr:nvGraphicFramePr>
        <xdr:cNvPr id="11" name="Chart 1"/>
        <xdr:cNvGraphicFramePr/>
      </xdr:nvGraphicFramePr>
      <xdr:xfrm>
        <a:off x="662544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Tramos!$B$11</f>
        <v>427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f aca="false">Tramos!$D$11</f>
        <v>131119250.003457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f aca="false">Factores!C24</f>
        <v>914</v>
      </c>
      <c r="C7" s="6" t="s">
        <v>10</v>
      </c>
    </row>
    <row r="8" customFormat="false" ht="15" hidden="false" customHeight="false" outlineLevel="0" collapsed="false">
      <c r="A8" s="4" t="s">
        <v>11</v>
      </c>
      <c r="B8" s="8" t="n">
        <f aca="false">Factores!E24</f>
        <v>0.462800875273523</v>
      </c>
      <c r="C8" s="6" t="s">
        <v>12</v>
      </c>
    </row>
    <row r="9" customFormat="false" ht="15" hidden="false" customHeight="false" outlineLevel="0" collapsed="false">
      <c r="A9" s="4" t="s">
        <v>13</v>
      </c>
      <c r="B9" s="7" t="n">
        <f aca="false">Perfil!$B$61</f>
        <v>263750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9" t="n">
        <f aca="false">Perfil!$B$60</f>
        <v>45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8" t="n">
        <f aca="false">Factores!E7</f>
        <v>0.928039702233251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8" t="n">
        <f aca="false">Factores!E6</f>
        <v>0.0724946695095949</v>
      </c>
      <c r="C12" s="6" t="s">
        <v>20</v>
      </c>
    </row>
    <row r="13" customFormat="false" ht="15" hidden="false" customHeight="false" outlineLevel="0" collapsed="false">
      <c r="A13" s="4" t="s">
        <v>21</v>
      </c>
      <c r="B13" s="8" t="n">
        <f aca="false">Tramos!E10</f>
        <v>0.348615859218192</v>
      </c>
      <c r="C13" s="6" t="s">
        <v>22</v>
      </c>
    </row>
    <row r="14" customFormat="false" ht="15" hidden="false" customHeight="false" outlineLevel="0" collapsed="false">
      <c r="A14" s="4" t="s">
        <v>23</v>
      </c>
      <c r="B14" s="8" t="n">
        <f aca="false">Cobro!D5</f>
        <v>0.0139491340894017</v>
      </c>
      <c r="C14" s="6" t="s">
        <v>24</v>
      </c>
    </row>
    <row r="16" customFormat="false" ht="15" hidden="false" customHeight="false" outlineLevel="0" collapsed="false">
      <c r="A16" s="10" t="s">
        <v>25</v>
      </c>
    </row>
    <row r="17" customFormat="false" ht="15" hidden="false" customHeight="false" outlineLevel="0" collapsed="false">
      <c r="A17" s="11" t="s">
        <v>26</v>
      </c>
    </row>
    <row r="18" customFormat="false" ht="15" hidden="false" customHeight="false" outlineLevel="0" collapsed="false">
      <c r="A18" s="11" t="s">
        <v>27</v>
      </c>
    </row>
    <row r="19" customFormat="false" ht="15" hidden="false" customHeight="false" outlineLevel="0" collapsed="false">
      <c r="A19" s="11" t="s">
        <v>28</v>
      </c>
    </row>
    <row r="20" customFormat="false" ht="15" hidden="false" customHeight="false" outlineLevel="0" collapsed="false">
      <c r="A20" s="11" t="s">
        <v>29</v>
      </c>
    </row>
    <row r="21" customFormat="false" ht="15" hidden="false" customHeight="false" outlineLevel="0" collapsed="false">
      <c r="A21" s="11" t="s">
        <v>30</v>
      </c>
    </row>
    <row r="23" customFormat="false" ht="15" hidden="false" customHeight="false" outlineLevel="0" collapsed="false">
      <c r="A23" s="2" t="s">
        <v>31</v>
      </c>
    </row>
    <row r="24" customFormat="false" ht="15" hidden="false" customHeight="false" outlineLevel="0" collapsed="false">
      <c r="A24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4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30" hidden="false" customHeight="true" outlineLevel="0" collapsed="false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</row>
    <row r="5" customFormat="false" ht="15" hidden="false" customHeight="false" outlineLevel="0" collapsed="false">
      <c r="A5" s="6" t="s">
        <v>40</v>
      </c>
      <c r="B5" s="12" t="n">
        <v>73</v>
      </c>
      <c r="C5" s="8" t="n">
        <f aca="false">B5/B$11</f>
        <v>0.17096018735363</v>
      </c>
      <c r="D5" s="13" t="n">
        <v>4091000</v>
      </c>
      <c r="E5" s="8" t="n">
        <f aca="false">D5/D$11</f>
        <v>0.0312006055548071</v>
      </c>
    </row>
    <row r="6" customFormat="false" ht="15" hidden="false" customHeight="false" outlineLevel="0" collapsed="false">
      <c r="A6" s="6" t="s">
        <v>41</v>
      </c>
      <c r="B6" s="12" t="n">
        <v>69</v>
      </c>
      <c r="C6" s="8" t="n">
        <f aca="false">B6/B$11</f>
        <v>0.161592505854801</v>
      </c>
      <c r="D6" s="13" t="n">
        <v>7573000.00345679</v>
      </c>
      <c r="E6" s="8" t="n">
        <f aca="false">D6/D$11</f>
        <v>0.0577565842029842</v>
      </c>
    </row>
    <row r="7" customFormat="false" ht="15" hidden="false" customHeight="false" outlineLevel="0" collapsed="false">
      <c r="A7" s="6" t="s">
        <v>42</v>
      </c>
      <c r="B7" s="12" t="n">
        <v>83</v>
      </c>
      <c r="C7" s="8" t="n">
        <f aca="false">B7/B$11</f>
        <v>0.194379391100703</v>
      </c>
      <c r="D7" s="13" t="n">
        <v>17785750</v>
      </c>
      <c r="E7" s="8" t="n">
        <f aca="false">D7/D$11</f>
        <v>0.135645605046788</v>
      </c>
    </row>
    <row r="8" customFormat="false" ht="15" hidden="false" customHeight="false" outlineLevel="0" collapsed="false">
      <c r="A8" s="6" t="s">
        <v>43</v>
      </c>
      <c r="B8" s="12" t="n">
        <v>64</v>
      </c>
      <c r="C8" s="8" t="n">
        <f aca="false">B8/B$11</f>
        <v>0.149882903981265</v>
      </c>
      <c r="D8" s="13" t="n">
        <v>23308500</v>
      </c>
      <c r="E8" s="8" t="n">
        <f aca="false">D8/D$11</f>
        <v>0.177765659881257</v>
      </c>
    </row>
    <row r="9" customFormat="false" ht="15" hidden="false" customHeight="false" outlineLevel="0" collapsed="false">
      <c r="A9" s="6" t="s">
        <v>44</v>
      </c>
      <c r="B9" s="12" t="n">
        <v>66</v>
      </c>
      <c r="C9" s="8" t="n">
        <f aca="false">B9/B$11</f>
        <v>0.154566744730679</v>
      </c>
      <c r="D9" s="13" t="n">
        <v>32650750</v>
      </c>
      <c r="E9" s="8" t="n">
        <f aca="false">D9/D$11</f>
        <v>0.249015686095971</v>
      </c>
    </row>
    <row r="10" customFormat="false" ht="15" hidden="false" customHeight="false" outlineLevel="0" collapsed="false">
      <c r="A10" s="6" t="s">
        <v>45</v>
      </c>
      <c r="B10" s="12" t="n">
        <v>72</v>
      </c>
      <c r="C10" s="8" t="n">
        <f aca="false">B10/B$11</f>
        <v>0.168618266978923</v>
      </c>
      <c r="D10" s="13" t="n">
        <v>45710250</v>
      </c>
      <c r="E10" s="8" t="n">
        <f aca="false">D10/D$11</f>
        <v>0.348615859218192</v>
      </c>
    </row>
    <row r="11" customFormat="false" ht="15" hidden="false" customHeight="false" outlineLevel="0" collapsed="false">
      <c r="A11" s="14" t="s">
        <v>46</v>
      </c>
      <c r="B11" s="15" t="n">
        <f aca="false">SUM(B5:B10)</f>
        <v>427</v>
      </c>
      <c r="C11" s="16" t="n">
        <f aca="false">SUM(C5:C10)</f>
        <v>1</v>
      </c>
      <c r="D11" s="17" t="n">
        <f aca="false">SUM(D5:D10)</f>
        <v>131119250.003457</v>
      </c>
      <c r="E11" s="16" t="n">
        <f aca="false">SUM(E5:E10)</f>
        <v>1</v>
      </c>
    </row>
    <row r="13" customFormat="false" ht="15" hidden="false" customHeight="false" outlineLevel="0" collapsed="false">
      <c r="A13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10" t="s">
        <v>50</v>
      </c>
    </row>
    <row r="5" customFormat="false" ht="30" hidden="false" customHeight="true" outlineLevel="0" collapsed="false">
      <c r="A5" s="3" t="s">
        <v>50</v>
      </c>
      <c r="B5" s="3" t="s">
        <v>36</v>
      </c>
      <c r="C5" s="3" t="s">
        <v>51</v>
      </c>
    </row>
    <row r="6" customFormat="false" ht="15" hidden="false" customHeight="false" outlineLevel="0" collapsed="false">
      <c r="A6" s="6" t="s">
        <v>52</v>
      </c>
      <c r="B6" s="12" t="n">
        <v>280</v>
      </c>
      <c r="C6" s="8" t="n">
        <f aca="false">B6/B$8</f>
        <v>0.655737704918033</v>
      </c>
    </row>
    <row r="7" customFormat="false" ht="15" hidden="false" customHeight="false" outlineLevel="0" collapsed="false">
      <c r="A7" s="6" t="s">
        <v>53</v>
      </c>
      <c r="B7" s="12" t="n">
        <v>147</v>
      </c>
      <c r="C7" s="8" t="n">
        <f aca="false">B7/B$8</f>
        <v>0.344262295081967</v>
      </c>
    </row>
    <row r="8" customFormat="false" ht="15" hidden="false" customHeight="false" outlineLevel="0" collapsed="false">
      <c r="A8" s="14" t="s">
        <v>46</v>
      </c>
      <c r="B8" s="15" t="n">
        <f aca="false">SUM(B6:B7)</f>
        <v>427</v>
      </c>
      <c r="C8" s="16" t="n">
        <f aca="false">SUM(C6:C7)</f>
        <v>1</v>
      </c>
    </row>
    <row r="11" customFormat="false" ht="15" hidden="false" customHeight="false" outlineLevel="0" collapsed="false">
      <c r="A11" s="10" t="s">
        <v>54</v>
      </c>
    </row>
    <row r="12" customFormat="false" ht="30" hidden="false" customHeight="true" outlineLevel="0" collapsed="false">
      <c r="A12" s="3" t="s">
        <v>54</v>
      </c>
      <c r="B12" s="3" t="s">
        <v>36</v>
      </c>
      <c r="C12" s="3" t="s">
        <v>51</v>
      </c>
    </row>
    <row r="13" customFormat="false" ht="15" hidden="false" customHeight="false" outlineLevel="0" collapsed="false">
      <c r="A13" s="6" t="s">
        <v>55</v>
      </c>
      <c r="B13" s="12" t="n">
        <v>103</v>
      </c>
      <c r="C13" s="8" t="n">
        <f aca="false">B13/B$18</f>
        <v>0.241217798594848</v>
      </c>
    </row>
    <row r="14" customFormat="false" ht="15" hidden="false" customHeight="false" outlineLevel="0" collapsed="false">
      <c r="A14" s="6" t="s">
        <v>56</v>
      </c>
      <c r="B14" s="12" t="n">
        <v>144</v>
      </c>
      <c r="C14" s="8" t="n">
        <f aca="false">B14/B$18</f>
        <v>0.337236533957845</v>
      </c>
    </row>
    <row r="15" customFormat="false" ht="15" hidden="false" customHeight="false" outlineLevel="0" collapsed="false">
      <c r="A15" s="6" t="s">
        <v>57</v>
      </c>
      <c r="B15" s="12" t="n">
        <v>70</v>
      </c>
      <c r="C15" s="8" t="n">
        <f aca="false">B15/B$18</f>
        <v>0.163934426229508</v>
      </c>
    </row>
    <row r="16" customFormat="false" ht="15" hidden="false" customHeight="false" outlineLevel="0" collapsed="false">
      <c r="A16" s="6" t="s">
        <v>58</v>
      </c>
      <c r="B16" s="12" t="n">
        <v>44</v>
      </c>
      <c r="C16" s="8" t="n">
        <f aca="false">B16/B$18</f>
        <v>0.103044496487119</v>
      </c>
    </row>
    <row r="17" customFormat="false" ht="15" hidden="false" customHeight="false" outlineLevel="0" collapsed="false">
      <c r="A17" s="6" t="s">
        <v>59</v>
      </c>
      <c r="B17" s="12" t="n">
        <v>66</v>
      </c>
      <c r="C17" s="8" t="n">
        <f aca="false">B17/B$18</f>
        <v>0.154566744730679</v>
      </c>
    </row>
    <row r="18" customFormat="false" ht="15" hidden="false" customHeight="false" outlineLevel="0" collapsed="false">
      <c r="A18" s="14" t="s">
        <v>46</v>
      </c>
      <c r="B18" s="15" t="n">
        <f aca="false">SUM(B13:B17)</f>
        <v>427</v>
      </c>
      <c r="C18" s="16" t="n">
        <f aca="false">SUM(C13:C17)</f>
        <v>1</v>
      </c>
    </row>
    <row r="21" customFormat="false" ht="15" hidden="false" customHeight="false" outlineLevel="0" collapsed="false">
      <c r="A21" s="10" t="s">
        <v>60</v>
      </c>
    </row>
    <row r="22" customFormat="false" ht="30" hidden="false" customHeight="true" outlineLevel="0" collapsed="false">
      <c r="A22" s="3" t="s">
        <v>60</v>
      </c>
      <c r="B22" s="3" t="s">
        <v>36</v>
      </c>
      <c r="C22" s="3" t="s">
        <v>51</v>
      </c>
    </row>
    <row r="23" customFormat="false" ht="15" hidden="false" customHeight="false" outlineLevel="0" collapsed="false">
      <c r="A23" s="6" t="s">
        <v>61</v>
      </c>
      <c r="B23" s="12" t="n">
        <v>176</v>
      </c>
      <c r="C23" s="8" t="n">
        <f aca="false">B23/B$27</f>
        <v>0.412177985948478</v>
      </c>
    </row>
    <row r="24" customFormat="false" ht="15" hidden="false" customHeight="false" outlineLevel="0" collapsed="false">
      <c r="A24" s="6" t="s">
        <v>62</v>
      </c>
      <c r="B24" s="12" t="n">
        <v>144</v>
      </c>
      <c r="C24" s="8" t="n">
        <f aca="false">B24/B$27</f>
        <v>0.337236533957845</v>
      </c>
    </row>
    <row r="25" customFormat="false" ht="15" hidden="false" customHeight="false" outlineLevel="0" collapsed="false">
      <c r="A25" s="6" t="s">
        <v>63</v>
      </c>
      <c r="B25" s="12" t="n">
        <v>85</v>
      </c>
      <c r="C25" s="8" t="n">
        <f aca="false">B25/B$27</f>
        <v>0.199063231850117</v>
      </c>
    </row>
    <row r="26" customFormat="false" ht="15" hidden="false" customHeight="false" outlineLevel="0" collapsed="false">
      <c r="A26" s="6" t="s">
        <v>64</v>
      </c>
      <c r="B26" s="12" t="n">
        <v>22</v>
      </c>
      <c r="C26" s="8" t="n">
        <f aca="false">B26/B$27</f>
        <v>0.0515222482435597</v>
      </c>
    </row>
    <row r="27" customFormat="false" ht="15" hidden="false" customHeight="false" outlineLevel="0" collapsed="false">
      <c r="A27" s="14" t="s">
        <v>46</v>
      </c>
      <c r="B27" s="15" t="n">
        <f aca="false">SUM(B23:B26)</f>
        <v>427</v>
      </c>
      <c r="C27" s="16" t="n">
        <f aca="false">SUM(C23:C26)</f>
        <v>1</v>
      </c>
    </row>
    <row r="30" customFormat="false" ht="15" hidden="false" customHeight="false" outlineLevel="0" collapsed="false">
      <c r="A30" s="10" t="s">
        <v>65</v>
      </c>
    </row>
    <row r="31" customFormat="false" ht="30" hidden="false" customHeight="true" outlineLevel="0" collapsed="false">
      <c r="A31" s="3" t="s">
        <v>65</v>
      </c>
      <c r="B31" s="3" t="s">
        <v>36</v>
      </c>
      <c r="C31" s="3" t="s">
        <v>51</v>
      </c>
    </row>
    <row r="32" customFormat="false" ht="15" hidden="false" customHeight="false" outlineLevel="0" collapsed="false">
      <c r="A32" s="6" t="s">
        <v>66</v>
      </c>
      <c r="B32" s="12" t="n">
        <v>374</v>
      </c>
      <c r="C32" s="8" t="n">
        <f aca="false">B32/B$37</f>
        <v>0.875878220140515</v>
      </c>
    </row>
    <row r="33" customFormat="false" ht="15" hidden="false" customHeight="false" outlineLevel="0" collapsed="false">
      <c r="A33" s="6" t="s">
        <v>67</v>
      </c>
      <c r="B33" s="12" t="n">
        <v>34</v>
      </c>
      <c r="C33" s="8" t="n">
        <f aca="false">B33/B$37</f>
        <v>0.0796252927400468</v>
      </c>
    </row>
    <row r="34" customFormat="false" ht="15" hidden="false" customHeight="false" outlineLevel="0" collapsed="false">
      <c r="A34" s="6" t="s">
        <v>68</v>
      </c>
      <c r="B34" s="12" t="n">
        <v>14</v>
      </c>
      <c r="C34" s="8" t="n">
        <f aca="false">B34/B$37</f>
        <v>0.0327868852459016</v>
      </c>
    </row>
    <row r="35" customFormat="false" ht="15" hidden="false" customHeight="false" outlineLevel="0" collapsed="false">
      <c r="A35" s="6" t="s">
        <v>69</v>
      </c>
      <c r="B35" s="12" t="n">
        <v>1</v>
      </c>
      <c r="C35" s="8" t="n">
        <f aca="false">B35/B$37</f>
        <v>0.00234192037470726</v>
      </c>
    </row>
    <row r="36" customFormat="false" ht="15" hidden="false" customHeight="false" outlineLevel="0" collapsed="false">
      <c r="A36" s="6" t="s">
        <v>70</v>
      </c>
      <c r="B36" s="12" t="n">
        <v>4</v>
      </c>
      <c r="C36" s="8" t="n">
        <f aca="false">B36/B$37</f>
        <v>0.00936768149882904</v>
      </c>
    </row>
    <row r="37" customFormat="false" ht="15" hidden="false" customHeight="false" outlineLevel="0" collapsed="false">
      <c r="A37" s="14" t="s">
        <v>46</v>
      </c>
      <c r="B37" s="15" t="n">
        <f aca="false">SUM(B32:B36)</f>
        <v>427</v>
      </c>
      <c r="C37" s="16" t="n">
        <f aca="false">SUM(C32:C36)</f>
        <v>1</v>
      </c>
    </row>
    <row r="40" customFormat="false" ht="15" hidden="false" customHeight="false" outlineLevel="0" collapsed="false">
      <c r="A40" s="10" t="s">
        <v>71</v>
      </c>
    </row>
    <row r="41" customFormat="false" ht="30" hidden="false" customHeight="true" outlineLevel="0" collapsed="false">
      <c r="A41" s="3" t="s">
        <v>71</v>
      </c>
      <c r="B41" s="3" t="s">
        <v>36</v>
      </c>
      <c r="C41" s="3" t="s">
        <v>51</v>
      </c>
    </row>
    <row r="42" customFormat="false" ht="15" hidden="false" customHeight="false" outlineLevel="0" collapsed="false">
      <c r="A42" s="6" t="s">
        <v>72</v>
      </c>
      <c r="B42" s="12" t="n">
        <v>219</v>
      </c>
      <c r="C42" s="8" t="n">
        <f aca="false">B42/B$47</f>
        <v>0.51288056206089</v>
      </c>
    </row>
    <row r="43" customFormat="false" ht="15" hidden="false" customHeight="false" outlineLevel="0" collapsed="false">
      <c r="A43" s="6" t="s">
        <v>73</v>
      </c>
      <c r="B43" s="12" t="n">
        <v>169</v>
      </c>
      <c r="C43" s="8" t="n">
        <f aca="false">B43/B$47</f>
        <v>0.395784543325527</v>
      </c>
    </row>
    <row r="44" customFormat="false" ht="15" hidden="false" customHeight="false" outlineLevel="0" collapsed="false">
      <c r="A44" s="6" t="s">
        <v>74</v>
      </c>
      <c r="B44" s="12" t="n">
        <v>32</v>
      </c>
      <c r="C44" s="8" t="n">
        <f aca="false">B44/B$47</f>
        <v>0.0749414519906323</v>
      </c>
    </row>
    <row r="45" customFormat="false" ht="15" hidden="false" customHeight="false" outlineLevel="0" collapsed="false">
      <c r="A45" s="6" t="s">
        <v>75</v>
      </c>
      <c r="B45" s="12" t="n">
        <v>3</v>
      </c>
      <c r="C45" s="8" t="n">
        <f aca="false">B45/B$47</f>
        <v>0.00702576112412178</v>
      </c>
    </row>
    <row r="46" customFormat="false" ht="15" hidden="false" customHeight="false" outlineLevel="0" collapsed="false">
      <c r="A46" s="6" t="s">
        <v>70</v>
      </c>
      <c r="B46" s="12" t="n">
        <v>4</v>
      </c>
      <c r="C46" s="8" t="n">
        <f aca="false">B46/B$47</f>
        <v>0.00936768149882904</v>
      </c>
    </row>
    <row r="47" customFormat="false" ht="15" hidden="false" customHeight="false" outlineLevel="0" collapsed="false">
      <c r="A47" s="14" t="s">
        <v>46</v>
      </c>
      <c r="B47" s="15" t="n">
        <f aca="false">SUM(B42:B46)</f>
        <v>427</v>
      </c>
      <c r="C47" s="16" t="n">
        <f aca="false">SUM(C42:C46)</f>
        <v>1</v>
      </c>
    </row>
    <row r="50" customFormat="false" ht="15" hidden="false" customHeight="false" outlineLevel="0" collapsed="false">
      <c r="A50" s="10" t="s">
        <v>76</v>
      </c>
    </row>
    <row r="51" customFormat="false" ht="30" hidden="false" customHeight="true" outlineLevel="0" collapsed="false">
      <c r="A51" s="3" t="s">
        <v>60</v>
      </c>
      <c r="B51" s="3" t="s">
        <v>36</v>
      </c>
      <c r="C51" s="3" t="s">
        <v>77</v>
      </c>
      <c r="D51" s="3" t="s">
        <v>78</v>
      </c>
      <c r="E51" s="3" t="s">
        <v>15</v>
      </c>
      <c r="F51" s="3" t="s">
        <v>79</v>
      </c>
      <c r="G51" s="3" t="s">
        <v>39</v>
      </c>
    </row>
    <row r="52" customFormat="false" ht="15" hidden="false" customHeight="false" outlineLevel="0" collapsed="false">
      <c r="A52" s="6" t="s">
        <v>61</v>
      </c>
      <c r="B52" s="12" t="n">
        <v>176</v>
      </c>
      <c r="C52" s="13" t="n">
        <v>49870000</v>
      </c>
      <c r="D52" s="18" t="n">
        <v>51</v>
      </c>
      <c r="E52" s="19" t="n">
        <v>36</v>
      </c>
      <c r="F52" s="13" t="n">
        <v>212000</v>
      </c>
      <c r="G52" s="8" t="n">
        <f aca="false">C52/C$56</f>
        <v>0.380340796631198</v>
      </c>
    </row>
    <row r="53" customFormat="false" ht="15" hidden="false" customHeight="false" outlineLevel="0" collapsed="false">
      <c r="A53" s="6" t="s">
        <v>62</v>
      </c>
      <c r="B53" s="12" t="n">
        <v>144</v>
      </c>
      <c r="C53" s="13" t="n">
        <v>48876500.0034568</v>
      </c>
      <c r="D53" s="18" t="n">
        <v>36</v>
      </c>
      <c r="E53" s="19" t="n">
        <v>54.5</v>
      </c>
      <c r="F53" s="13" t="n">
        <v>318375</v>
      </c>
      <c r="G53" s="8" t="n">
        <f aca="false">C53/C$56</f>
        <v>0.372763724641258</v>
      </c>
    </row>
    <row r="54" customFormat="false" ht="15" hidden="false" customHeight="false" outlineLevel="0" collapsed="false">
      <c r="A54" s="6" t="s">
        <v>63</v>
      </c>
      <c r="B54" s="12" t="n">
        <v>85</v>
      </c>
      <c r="C54" s="13" t="n">
        <v>24546250</v>
      </c>
      <c r="D54" s="18" t="n">
        <v>39</v>
      </c>
      <c r="E54" s="19" t="n">
        <v>39</v>
      </c>
      <c r="F54" s="13" t="n">
        <v>229250</v>
      </c>
      <c r="G54" s="8" t="n">
        <f aca="false">C54/C$56</f>
        <v>0.187205539990145</v>
      </c>
    </row>
    <row r="55" customFormat="false" ht="15" hidden="false" customHeight="false" outlineLevel="0" collapsed="false">
      <c r="A55" s="6" t="s">
        <v>64</v>
      </c>
      <c r="B55" s="12" t="n">
        <v>22</v>
      </c>
      <c r="C55" s="13" t="n">
        <v>7826500</v>
      </c>
      <c r="D55" s="18" t="n">
        <v>58</v>
      </c>
      <c r="E55" s="19" t="n">
        <v>68</v>
      </c>
      <c r="F55" s="13" t="n">
        <v>396000</v>
      </c>
      <c r="G55" s="8" t="n">
        <f aca="false">C55/C$56</f>
        <v>0.0596899387373987</v>
      </c>
    </row>
    <row r="56" customFormat="false" ht="15" hidden="false" customHeight="false" outlineLevel="0" collapsed="false">
      <c r="A56" s="14" t="s">
        <v>46</v>
      </c>
      <c r="B56" s="15" t="n">
        <f aca="false">SUM(B52:B55)</f>
        <v>427</v>
      </c>
      <c r="C56" s="17" t="n">
        <f aca="false">SUM(C52:C55)</f>
        <v>131119250.003457</v>
      </c>
      <c r="D56" s="20"/>
      <c r="E56" s="20"/>
      <c r="F56" s="20"/>
      <c r="G56" s="16" t="n">
        <f aca="false">SUM(G52:G55)</f>
        <v>1</v>
      </c>
    </row>
    <row r="58" customFormat="false" ht="15" hidden="false" customHeight="false" outlineLevel="0" collapsed="false">
      <c r="A58" s="10" t="s">
        <v>80</v>
      </c>
    </row>
    <row r="59" customFormat="false" ht="15" hidden="false" customHeight="false" outlineLevel="0" collapsed="false">
      <c r="A59" s="6" t="s">
        <v>81</v>
      </c>
      <c r="B59" s="18" t="n">
        <v>42</v>
      </c>
    </row>
    <row r="60" customFormat="false" ht="15" hidden="false" customHeight="false" outlineLevel="0" collapsed="false">
      <c r="A60" s="6" t="s">
        <v>15</v>
      </c>
      <c r="B60" s="18" t="n">
        <v>45</v>
      </c>
    </row>
    <row r="61" customFormat="false" ht="15" hidden="false" customHeight="false" outlineLevel="0" collapsed="false">
      <c r="A61" s="6" t="s">
        <v>13</v>
      </c>
      <c r="B61" s="13" t="n">
        <v>263750</v>
      </c>
    </row>
    <row r="62" customFormat="false" ht="15" hidden="false" customHeight="false" outlineLevel="0" collapsed="false">
      <c r="A62" s="6" t="s">
        <v>82</v>
      </c>
      <c r="B62" s="13" t="n">
        <v>307070.84309943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7" min="4" style="0" width="11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3" customFormat="false" ht="15" hidden="false" customHeight="false" outlineLevel="0" collapsed="false">
      <c r="A3" s="11" t="s">
        <v>85</v>
      </c>
      <c r="B3" s="21" t="n">
        <v>1.96</v>
      </c>
      <c r="C3" s="2" t="s">
        <v>86</v>
      </c>
    </row>
    <row r="5" customFormat="false" ht="30" hidden="false" customHeight="true" outlineLevel="0" collapsed="false">
      <c r="A5" s="3" t="s">
        <v>87</v>
      </c>
      <c r="B5" s="3" t="s">
        <v>88</v>
      </c>
      <c r="C5" s="3" t="s">
        <v>89</v>
      </c>
      <c r="D5" s="3" t="s">
        <v>90</v>
      </c>
      <c r="E5" s="3" t="s">
        <v>11</v>
      </c>
      <c r="F5" s="3" t="s">
        <v>91</v>
      </c>
      <c r="G5" s="3" t="s">
        <v>92</v>
      </c>
    </row>
    <row r="6" customFormat="false" ht="15" hidden="false" customHeight="false" outlineLevel="0" collapsed="false">
      <c r="A6" s="6" t="s">
        <v>65</v>
      </c>
      <c r="B6" s="6" t="s">
        <v>67</v>
      </c>
      <c r="C6" s="12" t="n">
        <v>469</v>
      </c>
      <c r="D6" s="12" t="n">
        <v>34</v>
      </c>
      <c r="E6" s="8" t="n">
        <f aca="false">D6/C6</f>
        <v>0.0724946695095949</v>
      </c>
      <c r="F6" s="8" t="n">
        <f aca="false">(E6+$B$3^2/(2*C6)-$B$3*SQRT(E6*(1-E6)/C6+$B$3^2/(4*C6^2)))/(1+$B$3^2/C6)</f>
        <v>0.0523385430980783</v>
      </c>
      <c r="G6" s="8" t="n">
        <f aca="false">(E6+$B$3^2/(2*C6)+$B$3*SQRT(E6*(1-E6)/C6+$B$3^2/(4*C6^2)))/(1+$B$3^2/C6)</f>
        <v>0.0995973271806789</v>
      </c>
    </row>
    <row r="7" customFormat="false" ht="15" hidden="false" customHeight="false" outlineLevel="0" collapsed="false">
      <c r="A7" s="6" t="s">
        <v>65</v>
      </c>
      <c r="B7" s="6" t="s">
        <v>66</v>
      </c>
      <c r="C7" s="12" t="n">
        <v>403</v>
      </c>
      <c r="D7" s="12" t="n">
        <v>374</v>
      </c>
      <c r="E7" s="8" t="n">
        <f aca="false">D7/C7</f>
        <v>0.928039702233251</v>
      </c>
      <c r="F7" s="8" t="n">
        <f aca="false">(E7+$B$3^2/(2*C7)-$B$3*SQRT(E7*(1-E7)/C7+$B$3^2/(4*C7^2)))/(1+$B$3^2/C7)</f>
        <v>0.898563224545421</v>
      </c>
      <c r="G7" s="8" t="n">
        <f aca="false">(E7+$B$3^2/(2*C7)+$B$3*SQRT(E7*(1-E7)/C7+$B$3^2/(4*C7^2)))/(1+$B$3^2/C7)</f>
        <v>0.949432653948814</v>
      </c>
    </row>
    <row r="8" customFormat="false" ht="15" hidden="false" customHeight="false" outlineLevel="0" collapsed="false">
      <c r="A8" s="6" t="s">
        <v>65</v>
      </c>
      <c r="B8" s="6" t="s">
        <v>68</v>
      </c>
      <c r="C8" s="12" t="n">
        <v>14</v>
      </c>
      <c r="D8" s="12" t="n">
        <v>14</v>
      </c>
      <c r="E8" s="8" t="n">
        <f aca="false">D8/C8</f>
        <v>1</v>
      </c>
      <c r="F8" s="8" t="n">
        <f aca="false">(E8+$B$3^2/(2*C8)-$B$3*SQRT(E8*(1-E8)/C8+$B$3^2/(4*C8^2)))/(1+$B$3^2/C8)</f>
        <v>0.784682988072819</v>
      </c>
      <c r="G8" s="8" t="n">
        <f aca="false">(E8+$B$3^2/(2*C8)+$B$3*SQRT(E8*(1-E8)/C8+$B$3^2/(4*C8^2)))/(1+$B$3^2/C8)</f>
        <v>1</v>
      </c>
    </row>
    <row r="9" customFormat="false" ht="15" hidden="false" customHeight="false" outlineLevel="0" collapsed="false">
      <c r="A9" s="6" t="s">
        <v>65</v>
      </c>
      <c r="B9" s="6" t="s">
        <v>69</v>
      </c>
      <c r="C9" s="12" t="n">
        <v>27</v>
      </c>
      <c r="D9" s="12" t="n">
        <v>1</v>
      </c>
      <c r="E9" s="8" t="n">
        <f aca="false">D9/C9</f>
        <v>0.037037037037037</v>
      </c>
      <c r="F9" s="8" t="n">
        <f aca="false">(E9+$B$3^2/(2*C9)-$B$3*SQRT(E9*(1-E9)/C9+$B$3^2/(4*C9^2)))/(1+$B$3^2/C9)</f>
        <v>0.0065679765330976</v>
      </c>
      <c r="G9" s="8" t="n">
        <f aca="false">(E9+$B$3^2/(2*C9)+$B$3*SQRT(E9*(1-E9)/C9+$B$3^2/(4*C9^2)))/(1+$B$3^2/C9)</f>
        <v>0.182838539341565</v>
      </c>
    </row>
    <row r="10" customFormat="false" ht="15" hidden="false" customHeight="false" outlineLevel="0" collapsed="false">
      <c r="A10" s="6" t="s">
        <v>65</v>
      </c>
      <c r="B10" s="6" t="s">
        <v>93</v>
      </c>
      <c r="C10" s="12" t="n">
        <v>1</v>
      </c>
      <c r="D10" s="12" t="n">
        <v>0</v>
      </c>
      <c r="E10" s="8" t="n">
        <f aca="false">D10/C10</f>
        <v>0</v>
      </c>
      <c r="F10" s="8" t="n">
        <f aca="false">(E10+$B$3^2/(2*C10)-$B$3*SQRT(E10*(1-E10)/C10+$B$3^2/(4*C10^2)))/(1+$B$3^2/C10)</f>
        <v>0</v>
      </c>
      <c r="G10" s="8" t="n">
        <f aca="false">(E10+$B$3^2/(2*C10)+$B$3*SQRT(E10*(1-E10)/C10+$B$3^2/(4*C10^2)))/(1+$B$3^2/C10)</f>
        <v>0.793456708526107</v>
      </c>
    </row>
    <row r="11" customFormat="false" ht="15" hidden="false" customHeight="false" outlineLevel="0" collapsed="false">
      <c r="A11" s="6" t="s">
        <v>94</v>
      </c>
      <c r="B11" s="6" t="s">
        <v>95</v>
      </c>
      <c r="C11" s="12" t="n">
        <v>364</v>
      </c>
      <c r="D11" s="12" t="n">
        <v>151</v>
      </c>
      <c r="E11" s="8" t="n">
        <f aca="false">D11/C11</f>
        <v>0.414835164835165</v>
      </c>
      <c r="F11" s="8" t="n">
        <f aca="false">(E11+$B$3^2/(2*C11)-$B$3*SQRT(E11*(1-E11)/C11+$B$3^2/(4*C11^2)))/(1+$B$3^2/C11)</f>
        <v>0.365366383768414</v>
      </c>
      <c r="G11" s="8" t="n">
        <f aca="false">(E11+$B$3^2/(2*C11)+$B$3*SQRT(E11*(1-E11)/C11+$B$3^2/(4*C11^2)))/(1+$B$3^2/C11)</f>
        <v>0.466082805230329</v>
      </c>
    </row>
    <row r="12" customFormat="false" ht="15" hidden="false" customHeight="false" outlineLevel="0" collapsed="false">
      <c r="A12" s="6" t="s">
        <v>94</v>
      </c>
      <c r="B12" s="6" t="s">
        <v>96</v>
      </c>
      <c r="C12" s="12" t="n">
        <v>215</v>
      </c>
      <c r="D12" s="12" t="n">
        <v>120</v>
      </c>
      <c r="E12" s="8" t="n">
        <f aca="false">D12/C12</f>
        <v>0.558139534883721</v>
      </c>
      <c r="F12" s="8" t="n">
        <f aca="false">(E12+$B$3^2/(2*C12)-$B$3*SQRT(E12*(1-E12)/C12+$B$3^2/(4*C12^2)))/(1+$B$3^2/C12)</f>
        <v>0.491314174983892</v>
      </c>
      <c r="G12" s="8" t="n">
        <f aca="false">(E12+$B$3^2/(2*C12)+$B$3*SQRT(E12*(1-E12)/C12+$B$3^2/(4*C12^2)))/(1+$B$3^2/C12)</f>
        <v>0.622923703006399</v>
      </c>
    </row>
    <row r="13" customFormat="false" ht="15" hidden="false" customHeight="false" outlineLevel="0" collapsed="false">
      <c r="A13" s="6" t="s">
        <v>94</v>
      </c>
      <c r="B13" s="6" t="s">
        <v>97</v>
      </c>
      <c r="C13" s="12" t="n">
        <v>180</v>
      </c>
      <c r="D13" s="12" t="n">
        <v>109</v>
      </c>
      <c r="E13" s="8" t="n">
        <f aca="false">D13/C13</f>
        <v>0.605555555555556</v>
      </c>
      <c r="F13" s="8" t="n">
        <f aca="false">(E13+$B$3^2/(2*C13)-$B$3*SQRT(E13*(1-E13)/C13+$B$3^2/(4*C13^2)))/(1+$B$3^2/C13)</f>
        <v>0.532666729626627</v>
      </c>
      <c r="G13" s="8" t="n">
        <f aca="false">(E13+$B$3^2/(2*C13)+$B$3*SQRT(E13*(1-E13)/C13+$B$3^2/(4*C13^2)))/(1+$B$3^2/C13)</f>
        <v>0.674032950967971</v>
      </c>
    </row>
    <row r="14" customFormat="false" ht="15" hidden="false" customHeight="false" outlineLevel="0" collapsed="false">
      <c r="A14" s="6" t="s">
        <v>94</v>
      </c>
      <c r="B14" s="6" t="s">
        <v>98</v>
      </c>
      <c r="C14" s="12" t="n">
        <v>155</v>
      </c>
      <c r="D14" s="12" t="n">
        <v>43</v>
      </c>
      <c r="E14" s="8" t="n">
        <f aca="false">D14/C14</f>
        <v>0.27741935483871</v>
      </c>
      <c r="F14" s="8" t="n">
        <f aca="false">(E14+$B$3^2/(2*C14)-$B$3*SQRT(E14*(1-E14)/C14+$B$3^2/(4*C14^2)))/(1+$B$3^2/C14)</f>
        <v>0.212966457263105</v>
      </c>
      <c r="G14" s="8" t="n">
        <f aca="false">(E14+$B$3^2/(2*C14)+$B$3*SQRT(E14*(1-E14)/C14+$B$3^2/(4*C14^2)))/(1+$B$3^2/C14)</f>
        <v>0.352638522792497</v>
      </c>
    </row>
    <row r="15" customFormat="false" ht="15" hidden="false" customHeight="false" outlineLevel="0" collapsed="false">
      <c r="A15" s="6" t="s">
        <v>99</v>
      </c>
      <c r="B15" s="6" t="s">
        <v>72</v>
      </c>
      <c r="C15" s="12" t="n">
        <v>436</v>
      </c>
      <c r="D15" s="12" t="n">
        <v>219</v>
      </c>
      <c r="E15" s="8" t="n">
        <f aca="false">D15/C15</f>
        <v>0.502293577981651</v>
      </c>
      <c r="F15" s="8" t="n">
        <f aca="false">(E15+$B$3^2/(2*C15)-$B$3*SQRT(E15*(1-E15)/C15+$B$3^2/(4*C15^2)))/(1+$B$3^2/C15)</f>
        <v>0.455545954399633</v>
      </c>
      <c r="G15" s="8" t="n">
        <f aca="false">(E15+$B$3^2/(2*C15)+$B$3*SQRT(E15*(1-E15)/C15+$B$3^2/(4*C15^2)))/(1+$B$3^2/C15)</f>
        <v>0.549001137098761</v>
      </c>
    </row>
    <row r="16" customFormat="false" ht="15" hidden="false" customHeight="false" outlineLevel="0" collapsed="false">
      <c r="A16" s="6" t="s">
        <v>99</v>
      </c>
      <c r="B16" s="6" t="s">
        <v>73</v>
      </c>
      <c r="C16" s="12" t="n">
        <v>407</v>
      </c>
      <c r="D16" s="12" t="n">
        <v>169</v>
      </c>
      <c r="E16" s="8" t="n">
        <f aca="false">D16/C16</f>
        <v>0.415233415233415</v>
      </c>
      <c r="F16" s="8" t="n">
        <f aca="false">(E16+$B$3^2/(2*C16)-$B$3*SQRT(E16*(1-E16)/C16+$B$3^2/(4*C16^2)))/(1+$B$3^2/C16)</f>
        <v>0.368370164706039</v>
      </c>
      <c r="G16" s="8" t="n">
        <f aca="false">(E16+$B$3^2/(2*C16)+$B$3*SQRT(E16*(1-E16)/C16+$B$3^2/(4*C16^2)))/(1+$B$3^2/C16)</f>
        <v>0.463681896234236</v>
      </c>
    </row>
    <row r="17" customFormat="false" ht="15" hidden="false" customHeight="false" outlineLevel="0" collapsed="false">
      <c r="A17" s="6" t="s">
        <v>99</v>
      </c>
      <c r="B17" s="6" t="s">
        <v>74</v>
      </c>
      <c r="C17" s="12" t="n">
        <v>60</v>
      </c>
      <c r="D17" s="12" t="n">
        <v>32</v>
      </c>
      <c r="E17" s="8" t="n">
        <f aca="false">D17/C17</f>
        <v>0.533333333333333</v>
      </c>
      <c r="F17" s="8" t="n">
        <f aca="false">(E17+$B$3^2/(2*C17)-$B$3*SQRT(E17*(1-E17)/C17+$B$3^2/(4*C17^2)))/(1+$B$3^2/C17)</f>
        <v>0.408932086711351</v>
      </c>
      <c r="G17" s="8" t="n">
        <f aca="false">(E17+$B$3^2/(2*C17)+$B$3*SQRT(E17*(1-E17)/C17+$B$3^2/(4*C17^2)))/(1+$B$3^2/C17)</f>
        <v>0.65372298459012</v>
      </c>
    </row>
    <row r="18" customFormat="false" ht="15" hidden="false" customHeight="false" outlineLevel="0" collapsed="false">
      <c r="A18" s="6" t="s">
        <v>99</v>
      </c>
      <c r="B18" s="6" t="s">
        <v>75</v>
      </c>
      <c r="C18" s="12" t="n">
        <v>11</v>
      </c>
      <c r="D18" s="12" t="n">
        <v>3</v>
      </c>
      <c r="E18" s="8" t="n">
        <f aca="false">D18/C18</f>
        <v>0.272727272727273</v>
      </c>
      <c r="F18" s="8" t="n">
        <f aca="false">(E18+$B$3^2/(2*C18)-$B$3*SQRT(E18*(1-E18)/C18+$B$3^2/(4*C18^2)))/(1+$B$3^2/C18)</f>
        <v>0.0974588057392147</v>
      </c>
      <c r="G18" s="8" t="n">
        <f aca="false">(E18+$B$3^2/(2*C18)+$B$3*SQRT(E18*(1-E18)/C18+$B$3^2/(4*C18^2)))/(1+$B$3^2/C18)</f>
        <v>0.565650293010246</v>
      </c>
    </row>
    <row r="19" customFormat="false" ht="15" hidden="false" customHeight="false" outlineLevel="0" collapsed="false">
      <c r="A19" s="6" t="s">
        <v>100</v>
      </c>
      <c r="B19" s="6" t="s">
        <v>55</v>
      </c>
      <c r="C19" s="12" t="n">
        <v>240</v>
      </c>
      <c r="D19" s="12" t="n">
        <v>102</v>
      </c>
      <c r="E19" s="8" t="n">
        <f aca="false">D19/C19</f>
        <v>0.425</v>
      </c>
      <c r="F19" s="8" t="n">
        <f aca="false">(E19+$B$3^2/(2*C19)-$B$3*SQRT(E19*(1-E19)/C19+$B$3^2/(4*C19^2)))/(1+$B$3^2/C19)</f>
        <v>0.364121941295534</v>
      </c>
      <c r="G19" s="8" t="n">
        <f aca="false">(E19+$B$3^2/(2*C19)+$B$3*SQRT(E19*(1-E19)/C19+$B$3^2/(4*C19^2)))/(1+$B$3^2/C19)</f>
        <v>0.488241232174456</v>
      </c>
    </row>
    <row r="20" customFormat="false" ht="15" hidden="false" customHeight="false" outlineLevel="0" collapsed="false">
      <c r="A20" s="6" t="s">
        <v>100</v>
      </c>
      <c r="B20" s="6" t="s">
        <v>56</v>
      </c>
      <c r="C20" s="12" t="n">
        <v>296</v>
      </c>
      <c r="D20" s="12" t="n">
        <v>142</v>
      </c>
      <c r="E20" s="8" t="n">
        <f aca="false">D20/C20</f>
        <v>0.47972972972973</v>
      </c>
      <c r="F20" s="8" t="n">
        <f aca="false">(E20+$B$3^2/(2*C20)-$B$3*SQRT(E20*(1-E20)/C20+$B$3^2/(4*C20^2)))/(1+$B$3^2/C20)</f>
        <v>0.423440095852987</v>
      </c>
      <c r="G20" s="8" t="n">
        <f aca="false">(E20+$B$3^2/(2*C20)+$B$3*SQRT(E20*(1-E20)/C20+$B$3^2/(4*C20^2)))/(1+$B$3^2/C20)</f>
        <v>0.536538772989762</v>
      </c>
    </row>
    <row r="21" customFormat="false" ht="15" hidden="false" customHeight="false" outlineLevel="0" collapsed="false">
      <c r="A21" s="6" t="s">
        <v>100</v>
      </c>
      <c r="B21" s="6" t="s">
        <v>57</v>
      </c>
      <c r="C21" s="12" t="n">
        <v>153</v>
      </c>
      <c r="D21" s="12" t="n">
        <v>69</v>
      </c>
      <c r="E21" s="8" t="n">
        <f aca="false">D21/C21</f>
        <v>0.450980392156863</v>
      </c>
      <c r="F21" s="8" t="n">
        <f aca="false">(E21+$B$3^2/(2*C21)-$B$3*SQRT(E21*(1-E21)/C21+$B$3^2/(4*C21^2)))/(1+$B$3^2/C21)</f>
        <v>0.374296774161663</v>
      </c>
      <c r="G21" s="8" t="n">
        <f aca="false">(E21+$B$3^2/(2*C21)+$B$3*SQRT(E21*(1-E21)/C21+$B$3^2/(4*C21^2)))/(1+$B$3^2/C21)</f>
        <v>0.530065333850497</v>
      </c>
    </row>
    <row r="22" customFormat="false" ht="15" hidden="false" customHeight="false" outlineLevel="0" collapsed="false">
      <c r="A22" s="6" t="s">
        <v>100</v>
      </c>
      <c r="B22" s="6" t="s">
        <v>58</v>
      </c>
      <c r="C22" s="12" t="n">
        <v>109</v>
      </c>
      <c r="D22" s="12" t="n">
        <v>44</v>
      </c>
      <c r="E22" s="8" t="n">
        <f aca="false">D22/C22</f>
        <v>0.403669724770642</v>
      </c>
      <c r="F22" s="8" t="n">
        <f aca="false">(E22+$B$3^2/(2*C22)-$B$3*SQRT(E22*(1-E22)/C22+$B$3^2/(4*C22^2)))/(1+$B$3^2/C22)</f>
        <v>0.316362859920312</v>
      </c>
      <c r="G22" s="8" t="n">
        <f aca="false">(E22+$B$3^2/(2*C22)+$B$3*SQRT(E22*(1-E22)/C22+$B$3^2/(4*C22^2)))/(1+$B$3^2/C22)</f>
        <v>0.497535560520377</v>
      </c>
    </row>
    <row r="23" customFormat="false" ht="15" hidden="false" customHeight="false" outlineLevel="0" collapsed="false">
      <c r="A23" s="6" t="s">
        <v>100</v>
      </c>
      <c r="B23" s="6" t="s">
        <v>59</v>
      </c>
      <c r="C23" s="12" t="n">
        <v>116</v>
      </c>
      <c r="D23" s="12" t="n">
        <v>66</v>
      </c>
      <c r="E23" s="8" t="n">
        <f aca="false">D23/C23</f>
        <v>0.568965517241379</v>
      </c>
      <c r="F23" s="8" t="n">
        <f aca="false">(E23+$B$3^2/(2*C23)-$B$3*SQRT(E23*(1-E23)/C23+$B$3^2/(4*C23^2)))/(1+$B$3^2/C23)</f>
        <v>0.478062423608374</v>
      </c>
      <c r="G23" s="8" t="n">
        <f aca="false">(E23+$B$3^2/(2*C23)+$B$3*SQRT(E23*(1-E23)/C23+$B$3^2/(4*C23^2)))/(1+$B$3^2/C23)</f>
        <v>0.655447142352027</v>
      </c>
    </row>
    <row r="24" customFormat="false" ht="15" hidden="false" customHeight="false" outlineLevel="0" collapsed="false">
      <c r="A24" s="14" t="s">
        <v>101</v>
      </c>
      <c r="B24" s="20"/>
      <c r="C24" s="15" t="n">
        <f aca="false">SUM(C6:C10)</f>
        <v>914</v>
      </c>
      <c r="D24" s="15" t="n">
        <f aca="false">SUM(D6:D10)</f>
        <v>423</v>
      </c>
      <c r="E24" s="16" t="n">
        <f aca="false">D24/C24</f>
        <v>0.462800875273523</v>
      </c>
      <c r="F24" s="20"/>
      <c r="G24" s="20"/>
    </row>
    <row r="26" customFormat="false" ht="15" hidden="false" customHeight="false" outlineLevel="0" collapsed="false">
      <c r="A26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4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15" hidden="false" customHeight="false" outlineLevel="0" collapsed="false">
      <c r="A4" s="10" t="s">
        <v>105</v>
      </c>
    </row>
    <row r="5" customFormat="false" ht="30" hidden="false" customHeight="true" outlineLevel="0" collapsed="false">
      <c r="A5" s="3" t="s">
        <v>106</v>
      </c>
      <c r="B5" s="3" t="s">
        <v>107</v>
      </c>
      <c r="C5" s="3" t="s">
        <v>91</v>
      </c>
      <c r="D5" s="3" t="s">
        <v>92</v>
      </c>
      <c r="E5" s="3" t="s">
        <v>108</v>
      </c>
    </row>
    <row r="6" customFormat="false" ht="15" hidden="false" customHeight="false" outlineLevel="0" collapsed="false">
      <c r="A6" s="6" t="s">
        <v>109</v>
      </c>
      <c r="B6" s="21" t="n">
        <v>0.5788</v>
      </c>
      <c r="C6" s="21" t="n">
        <v>0.4268</v>
      </c>
      <c r="D6" s="21" t="n">
        <v>0.785</v>
      </c>
      <c r="E6" s="22" t="n">
        <v>0.0004</v>
      </c>
    </row>
    <row r="7" customFormat="false" ht="15" hidden="false" customHeight="false" outlineLevel="0" collapsed="false">
      <c r="A7" s="6" t="s">
        <v>110</v>
      </c>
      <c r="B7" s="21" t="n">
        <v>0.7162</v>
      </c>
      <c r="C7" s="21" t="n">
        <v>0.4155</v>
      </c>
      <c r="D7" s="21" t="n">
        <v>1.2344</v>
      </c>
      <c r="E7" s="22" t="n">
        <v>0.2294</v>
      </c>
    </row>
    <row r="8" customFormat="false" ht="15" hidden="false" customHeight="false" outlineLevel="0" collapsed="false">
      <c r="A8" s="6" t="s">
        <v>111</v>
      </c>
      <c r="B8" s="21" t="n">
        <v>1.1133</v>
      </c>
      <c r="C8" s="21" t="n">
        <v>0.9859</v>
      </c>
      <c r="D8" s="21" t="n">
        <v>1.2572</v>
      </c>
      <c r="E8" s="22" t="n">
        <v>0.0835</v>
      </c>
    </row>
    <row r="9" customFormat="false" ht="15" hidden="false" customHeight="false" outlineLevel="0" collapsed="false">
      <c r="A9" s="6" t="s">
        <v>112</v>
      </c>
      <c r="B9" s="21" t="n">
        <v>1.0236</v>
      </c>
      <c r="C9" s="21" t="n">
        <v>0.9873</v>
      </c>
      <c r="D9" s="21" t="n">
        <v>1.0613</v>
      </c>
      <c r="E9" s="22" t="n">
        <v>0.2054</v>
      </c>
    </row>
    <row r="10" customFormat="false" ht="15" hidden="false" customHeight="false" outlineLevel="0" collapsed="false">
      <c r="A10" s="14" t="s">
        <v>113</v>
      </c>
      <c r="B10" s="23" t="n">
        <v>0.56</v>
      </c>
    </row>
    <row r="13" customFormat="false" ht="15" hidden="false" customHeight="false" outlineLevel="0" collapsed="false">
      <c r="A13" s="10" t="s">
        <v>114</v>
      </c>
    </row>
    <row r="14" customFormat="false" ht="30" hidden="false" customHeight="true" outlineLevel="0" collapsed="false">
      <c r="A14" s="3" t="s">
        <v>106</v>
      </c>
      <c r="B14" s="3" t="s">
        <v>107</v>
      </c>
      <c r="C14" s="3" t="s">
        <v>91</v>
      </c>
      <c r="D14" s="3" t="s">
        <v>92</v>
      </c>
      <c r="E14" s="3" t="s">
        <v>108</v>
      </c>
    </row>
    <row r="15" customFormat="false" ht="15" hidden="false" customHeight="false" outlineLevel="0" collapsed="false">
      <c r="A15" s="6" t="s">
        <v>109</v>
      </c>
      <c r="B15" s="21" t="n">
        <v>1.2031</v>
      </c>
      <c r="C15" s="21" t="n">
        <v>0.6615</v>
      </c>
      <c r="D15" s="21" t="n">
        <v>2.188</v>
      </c>
      <c r="E15" s="22" t="n">
        <v>0.5446</v>
      </c>
    </row>
    <row r="16" customFormat="false" ht="15" hidden="false" customHeight="false" outlineLevel="0" collapsed="false">
      <c r="A16" s="6" t="s">
        <v>110</v>
      </c>
      <c r="B16" s="21" t="n">
        <v>0.9059</v>
      </c>
      <c r="C16" s="21" t="n">
        <v>0.3068</v>
      </c>
      <c r="D16" s="21" t="n">
        <v>2.6751</v>
      </c>
      <c r="E16" s="22" t="n">
        <v>0.858</v>
      </c>
    </row>
    <row r="17" customFormat="false" ht="15" hidden="false" customHeight="false" outlineLevel="0" collapsed="false">
      <c r="A17" s="6" t="s">
        <v>115</v>
      </c>
      <c r="B17" s="21" t="n">
        <v>0.278</v>
      </c>
      <c r="C17" s="21" t="n">
        <v>0.0341</v>
      </c>
      <c r="D17" s="21" t="n">
        <v>2.268</v>
      </c>
      <c r="E17" s="22" t="n">
        <v>0.232</v>
      </c>
    </row>
    <row r="18" customFormat="false" ht="15" hidden="false" customHeight="false" outlineLevel="0" collapsed="false">
      <c r="A18" s="6" t="s">
        <v>116</v>
      </c>
      <c r="B18" s="21" t="n">
        <v>173.1336</v>
      </c>
      <c r="C18" s="21" t="n">
        <v>101.3819</v>
      </c>
      <c r="D18" s="21" t="n">
        <v>295.6665</v>
      </c>
      <c r="E18" s="22" t="n">
        <v>0</v>
      </c>
    </row>
    <row r="19" customFormat="false" ht="15" hidden="false" customHeight="false" outlineLevel="0" collapsed="false">
      <c r="A19" s="6" t="s">
        <v>111</v>
      </c>
      <c r="B19" s="21" t="n">
        <v>1.2338</v>
      </c>
      <c r="C19" s="21" t="n">
        <v>0.962</v>
      </c>
      <c r="D19" s="21" t="n">
        <v>1.5824</v>
      </c>
      <c r="E19" s="22" t="n">
        <v>0.0979</v>
      </c>
    </row>
    <row r="20" customFormat="false" ht="15" hidden="false" customHeight="false" outlineLevel="0" collapsed="false">
      <c r="A20" s="6" t="s">
        <v>112</v>
      </c>
      <c r="B20" s="21" t="n">
        <v>0.9882</v>
      </c>
      <c r="C20" s="21" t="n">
        <v>0.9219</v>
      </c>
      <c r="D20" s="21" t="n">
        <v>1.0594</v>
      </c>
      <c r="E20" s="22" t="n">
        <v>0.7384</v>
      </c>
    </row>
    <row r="21" customFormat="false" ht="15" hidden="false" customHeight="false" outlineLevel="0" collapsed="false">
      <c r="A21" s="14" t="s">
        <v>113</v>
      </c>
      <c r="B21" s="23" t="n">
        <v>0.92</v>
      </c>
    </row>
    <row r="24" customFormat="false" ht="15" hidden="false" customHeight="false" outlineLevel="0" collapsed="false">
      <c r="A24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30" hidden="false" customHeight="true" outlineLevel="0" collapsed="false">
      <c r="A4" s="3" t="s">
        <v>120</v>
      </c>
      <c r="B4" s="3" t="s">
        <v>36</v>
      </c>
      <c r="C4" s="3" t="s">
        <v>38</v>
      </c>
      <c r="D4" s="3" t="s">
        <v>39</v>
      </c>
    </row>
    <row r="5" customFormat="false" ht="15" hidden="false" customHeight="false" outlineLevel="0" collapsed="false">
      <c r="A5" s="6" t="s">
        <v>121</v>
      </c>
      <c r="B5" s="12" t="n">
        <v>30</v>
      </c>
      <c r="C5" s="13" t="n">
        <v>1829000</v>
      </c>
      <c r="D5" s="8" t="n">
        <f aca="false">C5/C$8</f>
        <v>0.0139491340894017</v>
      </c>
    </row>
    <row r="6" customFormat="false" ht="15" hidden="false" customHeight="false" outlineLevel="0" collapsed="false">
      <c r="A6" s="6" t="s">
        <v>122</v>
      </c>
      <c r="B6" s="12" t="n">
        <v>18</v>
      </c>
      <c r="C6" s="13" t="n">
        <v>5794000</v>
      </c>
      <c r="D6" s="8" t="n">
        <f aca="false">C6/C$8</f>
        <v>0.0441887823477273</v>
      </c>
    </row>
    <row r="7" customFormat="false" ht="15" hidden="false" customHeight="false" outlineLevel="0" collapsed="false">
      <c r="A7" s="6" t="s">
        <v>123</v>
      </c>
      <c r="B7" s="12" t="n">
        <v>379</v>
      </c>
      <c r="C7" s="13" t="n">
        <v>123496250.003457</v>
      </c>
      <c r="D7" s="8" t="n">
        <f aca="false">C7/C$8</f>
        <v>0.941862083562871</v>
      </c>
    </row>
    <row r="8" customFormat="false" ht="15" hidden="false" customHeight="false" outlineLevel="0" collapsed="false">
      <c r="A8" s="14" t="s">
        <v>46</v>
      </c>
      <c r="B8" s="15" t="n">
        <f aca="false">SUM(B5:B7)</f>
        <v>427</v>
      </c>
      <c r="C8" s="17" t="n">
        <f aca="false">SUM(C5:C7)</f>
        <v>131119250.003457</v>
      </c>
      <c r="D8" s="16" t="n">
        <f aca="false">SUM(D5:D7)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6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30" hidden="false" customHeight="true" outlineLevel="0" collapsed="false">
      <c r="A4" s="3" t="s">
        <v>126</v>
      </c>
      <c r="B4" s="3" t="s">
        <v>127</v>
      </c>
      <c r="C4" s="3" t="s">
        <v>128</v>
      </c>
      <c r="D4" s="3" t="s">
        <v>129</v>
      </c>
    </row>
    <row r="5" customFormat="false" ht="31.5" hidden="false" customHeight="true" outlineLevel="0" collapsed="false">
      <c r="A5" s="24" t="s">
        <v>130</v>
      </c>
      <c r="B5" s="24" t="s">
        <v>90</v>
      </c>
      <c r="C5" s="24" t="s">
        <v>131</v>
      </c>
      <c r="D5" s="24" t="s">
        <v>132</v>
      </c>
    </row>
    <row r="6" customFormat="false" ht="31.5" hidden="false" customHeight="true" outlineLevel="0" collapsed="false">
      <c r="A6" s="24" t="s">
        <v>133</v>
      </c>
      <c r="B6" s="24" t="s">
        <v>90</v>
      </c>
      <c r="C6" s="24" t="s">
        <v>134</v>
      </c>
      <c r="D6" s="24" t="s">
        <v>135</v>
      </c>
    </row>
    <row r="7" customFormat="false" ht="31.5" hidden="false" customHeight="true" outlineLevel="0" collapsed="false">
      <c r="A7" s="24" t="s">
        <v>136</v>
      </c>
      <c r="B7" s="24" t="s">
        <v>137</v>
      </c>
      <c r="C7" s="24" t="s">
        <v>138</v>
      </c>
      <c r="D7" s="24" t="s">
        <v>139</v>
      </c>
    </row>
    <row r="8" customFormat="false" ht="31.5" hidden="false" customHeight="true" outlineLevel="0" collapsed="false">
      <c r="A8" s="24" t="s">
        <v>140</v>
      </c>
      <c r="B8" s="24" t="s">
        <v>137</v>
      </c>
      <c r="C8" s="24" t="s">
        <v>141</v>
      </c>
      <c r="D8" s="24" t="s">
        <v>142</v>
      </c>
    </row>
    <row r="9" customFormat="false" ht="31.5" hidden="false" customHeight="true" outlineLevel="0" collapsed="false">
      <c r="A9" s="24" t="s">
        <v>143</v>
      </c>
      <c r="B9" s="24" t="s">
        <v>90</v>
      </c>
      <c r="C9" s="24" t="s">
        <v>144</v>
      </c>
      <c r="D9" s="24" t="s">
        <v>145</v>
      </c>
    </row>
    <row r="10" customFormat="false" ht="31.5" hidden="false" customHeight="true" outlineLevel="0" collapsed="false">
      <c r="A10" s="24" t="s">
        <v>146</v>
      </c>
      <c r="B10" s="24" t="s">
        <v>90</v>
      </c>
      <c r="C10" s="24" t="s">
        <v>147</v>
      </c>
      <c r="D10" s="24" t="s">
        <v>148</v>
      </c>
    </row>
    <row r="11" customFormat="false" ht="31.5" hidden="false" customHeight="true" outlineLevel="0" collapsed="false">
      <c r="A11" s="24" t="s">
        <v>149</v>
      </c>
      <c r="B11" s="24" t="s">
        <v>90</v>
      </c>
      <c r="C11" s="24" t="s">
        <v>150</v>
      </c>
      <c r="D11" s="24" t="s">
        <v>151</v>
      </c>
    </row>
    <row r="12" customFormat="false" ht="31.5" hidden="false" customHeight="true" outlineLevel="0" collapsed="false">
      <c r="A12" s="24" t="s">
        <v>152</v>
      </c>
      <c r="B12" s="24" t="s">
        <v>137</v>
      </c>
      <c r="C12" s="24" t="s">
        <v>153</v>
      </c>
      <c r="D12" s="24" t="s">
        <v>154</v>
      </c>
    </row>
    <row r="13" customFormat="false" ht="31.5" hidden="false" customHeight="true" outlineLevel="0" collapsed="false">
      <c r="A13" s="24" t="s">
        <v>155</v>
      </c>
      <c r="B13" s="24" t="s">
        <v>90</v>
      </c>
      <c r="C13" s="24" t="s">
        <v>156</v>
      </c>
      <c r="D13" s="24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2026-10-14T17:54:30Z</dcterms:created>
  <dc:creator>openpyxl</dc:creator>
  <dc:description/>
  <dc:language>en-US</dc:language>
  <cp:lastModifiedBy/>
  <dcterms:modified xsi:type="dcterms:W3CDTF">2026-10-14T17:54:32Z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